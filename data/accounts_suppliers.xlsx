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18E7B0C4-4DF0-4C7A-AB53-DEAA540CF54D}" xr6:coauthVersionLast="47" xr6:coauthVersionMax="47" xr10:uidLastSave="{00000000-0000-0000-0000-000000000000}"/>
  <bookViews>
    <workbookView xWindow="-108" yWindow="-108" windowWidth="23256" windowHeight="12456" firstSheet="1" activeTab="1" xr2:uid="{16C6A644-6B54-4DD9-A539-AD7BFB104CAC}"/>
  </bookViews>
  <sheets>
    <sheet name="Sheet1" sheetId="1" state="hidden" r:id="rId1"/>
    <sheet name="Automotive Accounts" sheetId="3" r:id="rId2"/>
    <sheet name="Citroen's Suppliers" sheetId="2" r:id="rId3"/>
  </sheets>
  <definedNames>
    <definedName name="_xlnm._FilterDatabase" localSheetId="0" hidden="1">Sheet1!$A$1:$Z$50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3" i="2"/>
  <c r="W26" i="1" l="1"/>
  <c r="V34" i="1"/>
  <c r="W37" i="1"/>
  <c r="W34" i="1"/>
  <c r="W36" i="1"/>
  <c r="W31" i="1"/>
  <c r="W24" i="1"/>
  <c r="W35" i="1"/>
  <c r="W21" i="1"/>
  <c r="W22" i="1" l="1"/>
  <c r="W33" i="1" l="1"/>
  <c r="V15" i="1" l="1"/>
  <c r="V14" i="1" l="1"/>
  <c r="V7" i="1" l="1"/>
  <c r="K5" i="1"/>
  <c r="V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S12" authorId="0" shapeId="0" xr:uid="{B26F0DB7-C096-4586-82F4-7795D58EC8F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16-3-2025/ETA:12-3-2025/ Mobica plant : 22-3-2025
</t>
        </r>
      </text>
    </comment>
    <comment ref="S16" authorId="0" shapeId="0" xr:uid="{3B7F4A76-7763-4510-8578-0C95703A62E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16-3-2025/ُETA:17-3-2025
</t>
        </r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<sst xmlns="http://schemas.openxmlformats.org/spreadsheetml/2006/main" count="583" uniqueCount="198">
  <si>
    <t>Serial</t>
  </si>
  <si>
    <t>BL</t>
  </si>
  <si>
    <t>Supplier</t>
  </si>
  <si>
    <t>Lot SKD # (stelantis)</t>
  </si>
  <si>
    <t>Order #</t>
  </si>
  <si>
    <t>Lot#</t>
  </si>
  <si>
    <t>Shipping by</t>
  </si>
  <si>
    <t xml:space="preserve">Shipping line/Air line </t>
  </si>
  <si>
    <t>Doc</t>
  </si>
  <si>
    <t xml:space="preserve">Form 4 </t>
  </si>
  <si>
    <t>Nafeza / Cargo X</t>
  </si>
  <si>
    <t>ACID number</t>
  </si>
  <si>
    <t>Sent request to Finace</t>
  </si>
  <si>
    <t>Shipment items</t>
  </si>
  <si>
    <t>POL</t>
  </si>
  <si>
    <t>POD</t>
  </si>
  <si>
    <t>tracing date</t>
  </si>
  <si>
    <t>Pick up</t>
  </si>
  <si>
    <t>ETS</t>
  </si>
  <si>
    <t>ETA</t>
  </si>
  <si>
    <t>AAV Plant</t>
  </si>
  <si>
    <t xml:space="preserve">current status </t>
  </si>
  <si>
    <t>Delivered on</t>
  </si>
  <si>
    <t>Cairo Airport</t>
  </si>
  <si>
    <t>No need</t>
  </si>
  <si>
    <t>X2A(10 L3 Opts. Carsets)</t>
  </si>
  <si>
    <t>X0</t>
  </si>
  <si>
    <t>Airfreight</t>
  </si>
  <si>
    <t>Done</t>
  </si>
  <si>
    <t>L2 &amp; L3 opt. Carsets</t>
  </si>
  <si>
    <t>065-44520722</t>
  </si>
  <si>
    <t>Saudi Arabian Airlines</t>
  </si>
  <si>
    <t>Madrid</t>
  </si>
  <si>
    <t>CC</t>
  </si>
  <si>
    <t>PO</t>
  </si>
  <si>
    <t>065-44531141</t>
  </si>
  <si>
    <t>CI</t>
  </si>
  <si>
    <t xml:space="preserve">Not yet </t>
  </si>
  <si>
    <t xml:space="preserve"> L3 opt. Carsets</t>
  </si>
  <si>
    <t>X2+X0</t>
  </si>
  <si>
    <t>065-44529133</t>
  </si>
  <si>
    <t>Barcelona</t>
  </si>
  <si>
    <t>Fabrics</t>
  </si>
  <si>
    <t>MALPENSA, Milano</t>
  </si>
  <si>
    <t>X2+PV</t>
  </si>
  <si>
    <t>EMIRATES</t>
  </si>
  <si>
    <t>176-96608315</t>
  </si>
  <si>
    <t>147 2047 5630</t>
  </si>
  <si>
    <t>Casablanca Mohamed V</t>
  </si>
  <si>
    <t>ROYAL AIR MAROC</t>
  </si>
  <si>
    <t>With shipemnt</t>
  </si>
  <si>
    <t>Tesca Spain Barcelona, Spain: 21004605</t>
  </si>
  <si>
    <t>Sage Kenitra, Morocco:21004625</t>
  </si>
  <si>
    <t>Adient Zaragoza, Spain:21004595</t>
  </si>
  <si>
    <t>Apollo (Sage italy plant):21004626</t>
  </si>
  <si>
    <t>Milestones</t>
  </si>
  <si>
    <t>147-20476816</t>
  </si>
  <si>
    <t>Adient Keintra, Morocco: 21004640</t>
  </si>
  <si>
    <t>Recived</t>
  </si>
  <si>
    <t>Delivered</t>
  </si>
  <si>
    <t>PV ( without airbags)</t>
  </si>
  <si>
    <t>PVs' Airbags</t>
  </si>
  <si>
    <t>X3&amp;BM</t>
  </si>
  <si>
    <t>Carsets</t>
  </si>
  <si>
    <t>Airbags</t>
  </si>
  <si>
    <t>5 L2 Carstes</t>
  </si>
  <si>
    <t>23 L2 &amp; 22 L3 Opts Carstes</t>
  </si>
  <si>
    <t>065-38610176</t>
  </si>
  <si>
    <t>057-13614904</t>
  </si>
  <si>
    <t>Air France</t>
  </si>
  <si>
    <t>X2B (Without airbags)</t>
  </si>
  <si>
    <t>065-44534814</t>
  </si>
  <si>
    <t>Mobica Plant</t>
  </si>
  <si>
    <t>Seafright</t>
  </si>
  <si>
    <t>March &amp; April SOP</t>
  </si>
  <si>
    <t>1, 2</t>
  </si>
  <si>
    <t>1 to 10</t>
  </si>
  <si>
    <t>CMAU3922735-TCNU2840130</t>
  </si>
  <si>
    <t>CMA</t>
  </si>
  <si>
    <t xml:space="preserve"> Carstes</t>
  </si>
  <si>
    <t xml:space="preserve">In transit </t>
  </si>
  <si>
    <t>Alexandria</t>
  </si>
  <si>
    <t xml:space="preserve"> Carstes ( Airbags)</t>
  </si>
  <si>
    <t xml:space="preserve">2050804802025030101 </t>
  </si>
  <si>
    <t xml:space="preserve">2050804802025020235 </t>
  </si>
  <si>
    <t xml:space="preserve">2050804802025020169 </t>
  </si>
  <si>
    <t>Fabrics &amp; Fabrics Acc</t>
  </si>
  <si>
    <t>Not yet</t>
  </si>
  <si>
    <t>SGCU 512128.2</t>
  </si>
  <si>
    <t xml:space="preserve">mediterranean </t>
  </si>
  <si>
    <t>Kuwait air lines</t>
  </si>
  <si>
    <t>Egypt air line</t>
  </si>
  <si>
    <t>077-56655616</t>
  </si>
  <si>
    <t>299-17379331</t>
  </si>
  <si>
    <t>299-17362026</t>
  </si>
  <si>
    <t>March to November SOP</t>
  </si>
  <si>
    <t>2050804802025030317</t>
  </si>
  <si>
    <t>ASAI</t>
  </si>
  <si>
    <t>Tester machine</t>
  </si>
  <si>
    <t>Bank confirmed</t>
  </si>
  <si>
    <t>Created</t>
  </si>
  <si>
    <t>May &amp; June</t>
  </si>
  <si>
    <t>5 to 15</t>
  </si>
  <si>
    <t>Sent</t>
  </si>
  <si>
    <t>1 to 15</t>
  </si>
  <si>
    <t xml:space="preserve">2050804802025040183 </t>
  </si>
  <si>
    <t xml:space="preserve">2050804802025040258 </t>
  </si>
  <si>
    <t>Waiting for items to be ready for pick up</t>
  </si>
  <si>
    <t xml:space="preserve"> Carstes (3x40)</t>
  </si>
  <si>
    <t xml:space="preserve"> Carstes (5x40)</t>
  </si>
  <si>
    <t>Fabrics(LCL)</t>
  </si>
  <si>
    <t>Fabrics(1x40)</t>
  </si>
  <si>
    <t>Fabrics Acc (4x40)</t>
  </si>
  <si>
    <t>May &amp; April SOP</t>
  </si>
  <si>
    <t>April to May</t>
  </si>
  <si>
    <t>Trim covers and Threads</t>
  </si>
  <si>
    <t>Maersk</t>
  </si>
  <si>
    <t xml:space="preserve">2050804802025040217 </t>
  </si>
  <si>
    <t>Tesca Moroco</t>
  </si>
  <si>
    <t>CMAU6589546
TGBU5084972
BEAU6306000</t>
  </si>
  <si>
    <t>-</t>
  </si>
  <si>
    <t>TLLU4543379
CRSU9204090
TCNU5807541
ECMU4793506
CMAU9761577</t>
  </si>
  <si>
    <t>in process</t>
  </si>
  <si>
    <t>ARKU8463419</t>
  </si>
  <si>
    <t>Tester Machine</t>
  </si>
  <si>
    <t>4500130781/  new(4500131437)new</t>
  </si>
  <si>
    <t xml:space="preserve">2050804802025050026 </t>
  </si>
  <si>
    <t xml:space="preserve">2050804802025050067 </t>
  </si>
  <si>
    <t xml:space="preserve">2050804802025050018  </t>
  </si>
  <si>
    <t>Waiting for pick up</t>
  </si>
  <si>
    <t>15 to 25</t>
  </si>
  <si>
    <t>Year 2025</t>
  </si>
  <si>
    <t>5 to 25</t>
  </si>
  <si>
    <t>August to sep</t>
  </si>
  <si>
    <t>Sep to OCT</t>
  </si>
  <si>
    <t>OCT TO November</t>
  </si>
  <si>
    <t>November to Decmber</t>
  </si>
  <si>
    <t>December to Jan</t>
  </si>
  <si>
    <t>Upcoming Shipemnts (ISA)</t>
  </si>
  <si>
    <t>MRKU 282682/3
MRSU 435908/4
TGHU 984865/9
MRSU 504459/0</t>
  </si>
  <si>
    <t>June 23rd to 29th</t>
  </si>
  <si>
    <t>July 28th to August 3rd</t>
  </si>
  <si>
    <t>August 25th to 31st</t>
  </si>
  <si>
    <t>September 29th to OCT 5th</t>
  </si>
  <si>
    <t>OCT 27th to Nov 2nd</t>
  </si>
  <si>
    <t>Arkas</t>
  </si>
  <si>
    <t>Casblanca airport</t>
  </si>
  <si>
    <t>Fabrics Acc and trim covers (1x40) &amp; (1x20)</t>
  </si>
  <si>
    <t>(Week 24) June 9 to June 15</t>
  </si>
  <si>
    <t>(Week 26) June 23 to June 25</t>
  </si>
  <si>
    <t>Under revsion</t>
  </si>
  <si>
    <t xml:space="preserve">2050804802025050323 </t>
  </si>
  <si>
    <t>Fabrics Acc (1x40)</t>
  </si>
  <si>
    <t>MRSU4738468</t>
  </si>
  <si>
    <t>SUDU6650358</t>
  </si>
  <si>
    <t xml:space="preserve">2050804802025050406 </t>
  </si>
  <si>
    <t xml:space="preserve">2050804802025050414 </t>
  </si>
  <si>
    <t xml:space="preserve">2050804802025050448 </t>
  </si>
  <si>
    <t>All three shipemnts will be picked in one shipment</t>
  </si>
  <si>
    <t>✓</t>
  </si>
  <si>
    <t>in progress</t>
  </si>
  <si>
    <t>2050804802025050141</t>
  </si>
  <si>
    <t>NBE</t>
  </si>
  <si>
    <t xml:space="preserve">2050804802025050307 </t>
  </si>
  <si>
    <t>2050804802025050398</t>
  </si>
  <si>
    <t>?</t>
  </si>
  <si>
    <t>4*40</t>
  </si>
  <si>
    <t>1*40</t>
  </si>
  <si>
    <t xml:space="preserve">2050804802025060017 </t>
  </si>
  <si>
    <t>MSKU 919113/5
MRKU 779936/1</t>
  </si>
  <si>
    <t>LCL</t>
  </si>
  <si>
    <t>Co-loader</t>
  </si>
  <si>
    <t>Suez Canal Bank</t>
  </si>
  <si>
    <t>1*20</t>
  </si>
  <si>
    <t>SN</t>
  </si>
  <si>
    <t>Adient Zaragoza, Spain: 21004595</t>
  </si>
  <si>
    <t>Tesca Morocco:21004835</t>
  </si>
  <si>
    <t>Manufacturing time</t>
  </si>
  <si>
    <t>transit time</t>
  </si>
  <si>
    <t>customs clearance</t>
  </si>
  <si>
    <t>receiving inspection</t>
  </si>
  <si>
    <t>country</t>
  </si>
  <si>
    <t>Morocco</t>
  </si>
  <si>
    <t>Spain</t>
  </si>
  <si>
    <t>Italy</t>
  </si>
  <si>
    <t>Estimated Time (day)</t>
  </si>
  <si>
    <t>Account</t>
  </si>
  <si>
    <t xml:space="preserve">GM </t>
  </si>
  <si>
    <t>BMW &amp; Geely</t>
  </si>
  <si>
    <t>MEC &amp; Exeed</t>
  </si>
  <si>
    <t>Nissan</t>
  </si>
  <si>
    <t>Cherokee &amp; Toyota</t>
  </si>
  <si>
    <t>Citroen</t>
  </si>
  <si>
    <t>Proton</t>
  </si>
  <si>
    <t>Kassrawy</t>
  </si>
  <si>
    <t>Train &amp; Bus</t>
  </si>
  <si>
    <t>GHB&amp;I vend</t>
  </si>
  <si>
    <t>Dong Feng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</si>
</sst>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8"/>
      <color rgb="FFFFFFFF"/>
      <name val="Century Gothic"/>
      <family val="2"/>
    </font>
    <font>
      <b/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</patternFill>
    </fill>
    <fill>
      <patternFill patternType="solid">
        <fgColor rgb="FF4472C4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15" borderId="0" applyNumberFormat="0" applyBorder="0" applyAlignment="0" applyProtection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/>
    </xf>
    <xf numFmtId="16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 vertical="center"/>
    </xf>
    <xf numFmtId="16" fontId="0" fillId="7" borderId="1" xfId="0" applyNumberFormat="1" applyFill="1" applyBorder="1" applyAlignment="1">
      <alignment horizontal="center"/>
    </xf>
    <xf numFmtId="16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16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horizontal="center" vertical="center"/>
    </xf>
    <xf numFmtId="16" fontId="0" fillId="9" borderId="1" xfId="0" applyNumberFormat="1" applyFill="1" applyBorder="1" applyAlignment="1">
      <alignment horizontal="center"/>
    </xf>
    <xf numFmtId="16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 vertical="center"/>
    </xf>
    <xf numFmtId="16" fontId="0" fillId="10" borderId="1" xfId="0" applyNumberFormat="1" applyFill="1" applyBorder="1" applyAlignment="1">
      <alignment horizontal="center"/>
    </xf>
    <xf numFmtId="16" fontId="0" fillId="10" borderId="1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16" fontId="0" fillId="11" borderId="1" xfId="0" applyNumberFormat="1" applyFill="1" applyBorder="1" applyAlignment="1">
      <alignment horizontal="center"/>
    </xf>
    <xf numFmtId="16" fontId="0" fillId="11" borderId="1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16" fontId="0" fillId="11" borderId="3" xfId="0" applyNumberForma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/>
    <xf numFmtId="16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/>
    </xf>
    <xf numFmtId="16" fontId="0" fillId="8" borderId="1" xfId="0" applyNumberFormat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6" fillId="9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16" fontId="0" fillId="13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16" fontId="0" fillId="14" borderId="1" xfId="0" applyNumberFormat="1" applyFill="1" applyBorder="1" applyAlignment="1">
      <alignment horizontal="center"/>
    </xf>
    <xf numFmtId="16" fontId="0" fillId="1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16" borderId="1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8" fillId="4" borderId="1" xfId="0" applyFont="1" applyFill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1">
    <dxf>
      <fill>
        <patternFill patternType="solid">
          <fgColor rgb="FF8ED973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E7E103-D1AE-419A-B0FA-E6328FC38C64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BCAE-001E-49A7-9BE9-F3230C5C5101}">
  <sheetPr filterMode="1"/>
  <dimension ref="A1:Z50"/>
  <sheetViews>
    <sheetView topLeftCell="D1" zoomScale="85" zoomScaleNormal="85" workbookViewId="0">
      <selection activeCell="N26" sqref="N26"/>
    </sheetView>
  </sheetViews>
  <sheetFormatPr defaultColWidth="8.88671875" defaultRowHeight="14.4" x14ac:dyDescent="0.3"/>
  <cols>
    <col min="1" max="1" width="10.6640625" style="7" bestFit="1" customWidth="1"/>
    <col min="2" max="2" width="26.44140625" style="3" bestFit="1" customWidth="1"/>
    <col min="3" max="3" width="33.44140625" style="3" bestFit="1" customWidth="1"/>
    <col min="4" max="4" width="35.88671875" style="3" bestFit="1" customWidth="1"/>
    <col min="5" max="5" width="23.109375" style="3" hidden="1" customWidth="1"/>
    <col min="6" max="6" width="22.44140625" style="3" bestFit="1" customWidth="1"/>
    <col min="7" max="7" width="9.6640625" style="3" bestFit="1" customWidth="1"/>
    <col min="8" max="8" width="15.88671875" style="3" bestFit="1" customWidth="1"/>
    <col min="9" max="9" width="23.6640625" style="3" bestFit="1" customWidth="1"/>
    <col min="10" max="10" width="13.44140625" style="3" bestFit="1" customWidth="1"/>
    <col min="11" max="11" width="13.6640625" style="3" bestFit="1" customWidth="1"/>
    <col min="12" max="12" width="12.33203125" style="3" bestFit="1" customWidth="1"/>
    <col min="13" max="13" width="19.88671875" style="3" bestFit="1" customWidth="1"/>
    <col min="14" max="14" width="26.5546875" style="4" customWidth="1"/>
    <col min="15" max="15" width="24.88671875" style="4" bestFit="1" customWidth="1"/>
    <col min="16" max="16" width="37.88671875" style="3" bestFit="1" customWidth="1"/>
    <col min="17" max="17" width="21.5546875" style="3" hidden="1" customWidth="1"/>
    <col min="18" max="18" width="34.6640625" style="3" hidden="1" customWidth="1"/>
    <col min="19" max="19" width="15.88671875" style="3" hidden="1" customWidth="1"/>
    <col min="20" max="20" width="25.6640625" style="3" bestFit="1" customWidth="1"/>
    <col min="21" max="22" width="9.109375" style="3" bestFit="1" customWidth="1"/>
    <col min="23" max="23" width="16.88671875" style="3" bestFit="1" customWidth="1"/>
    <col min="24" max="24" width="14.109375" style="7" hidden="1" customWidth="1"/>
    <col min="25" max="25" width="41.109375" style="3" bestFit="1" customWidth="1"/>
    <col min="26" max="26" width="16.5546875" style="7" bestFit="1" customWidth="1"/>
    <col min="27" max="16384" width="8.88671875" style="7"/>
  </cols>
  <sheetData>
    <row r="1" spans="1:26" x14ac:dyDescent="0.3">
      <c r="A1" s="1" t="s">
        <v>0</v>
      </c>
      <c r="B1" s="5" t="s">
        <v>1</v>
      </c>
      <c r="C1" s="5" t="s">
        <v>34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36</v>
      </c>
      <c r="L1" s="5" t="s">
        <v>9</v>
      </c>
      <c r="M1" s="5" t="s">
        <v>10</v>
      </c>
      <c r="N1" s="6" t="s">
        <v>11</v>
      </c>
      <c r="O1" s="6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72</v>
      </c>
      <c r="X1" s="5" t="s">
        <v>20</v>
      </c>
      <c r="Y1" s="2" t="s">
        <v>21</v>
      </c>
      <c r="Z1" s="2" t="s">
        <v>22</v>
      </c>
    </row>
    <row r="2" spans="1:26" s="3" customFormat="1" hidden="1" x14ac:dyDescent="0.3">
      <c r="A2" s="8">
        <v>1</v>
      </c>
      <c r="B2" s="9" t="s">
        <v>30</v>
      </c>
      <c r="C2" s="10" t="s">
        <v>37</v>
      </c>
      <c r="D2" s="10" t="s">
        <v>53</v>
      </c>
      <c r="E2" s="60"/>
      <c r="F2" s="8" t="s">
        <v>26</v>
      </c>
      <c r="G2" s="8"/>
      <c r="H2" s="8" t="s">
        <v>27</v>
      </c>
      <c r="I2" s="8" t="s">
        <v>31</v>
      </c>
      <c r="J2" s="8" t="s">
        <v>50</v>
      </c>
      <c r="K2" s="67">
        <v>4868</v>
      </c>
      <c r="L2" s="68">
        <v>45645</v>
      </c>
      <c r="M2" s="8" t="s">
        <v>24</v>
      </c>
      <c r="N2" s="8" t="s">
        <v>24</v>
      </c>
      <c r="O2" s="8" t="s">
        <v>28</v>
      </c>
      <c r="P2" s="8" t="s">
        <v>29</v>
      </c>
      <c r="Q2" s="54" t="s">
        <v>32</v>
      </c>
      <c r="R2" s="54" t="s">
        <v>23</v>
      </c>
      <c r="S2" s="57">
        <v>45649</v>
      </c>
      <c r="T2" s="8"/>
      <c r="U2" s="68">
        <v>45582</v>
      </c>
      <c r="V2" s="68">
        <v>45594</v>
      </c>
      <c r="W2" s="68"/>
      <c r="X2" s="54"/>
      <c r="Y2" s="8" t="s">
        <v>59</v>
      </c>
      <c r="Z2" s="68">
        <v>45680</v>
      </c>
    </row>
    <row r="3" spans="1:26" hidden="1" x14ac:dyDescent="0.3">
      <c r="A3" s="8">
        <v>1</v>
      </c>
      <c r="B3" s="10" t="s">
        <v>40</v>
      </c>
      <c r="C3" s="10">
        <v>4500129739</v>
      </c>
      <c r="D3" s="10" t="s">
        <v>51</v>
      </c>
      <c r="E3" s="55"/>
      <c r="F3" s="10" t="s">
        <v>39</v>
      </c>
      <c r="G3" s="10"/>
      <c r="H3" s="10" t="s">
        <v>27</v>
      </c>
      <c r="I3" s="8" t="s">
        <v>31</v>
      </c>
      <c r="J3" s="8" t="s">
        <v>58</v>
      </c>
      <c r="K3" s="69">
        <v>2986.36</v>
      </c>
      <c r="L3" s="10" t="s">
        <v>28</v>
      </c>
      <c r="M3" s="8" t="s">
        <v>24</v>
      </c>
      <c r="N3" s="8" t="s">
        <v>24</v>
      </c>
      <c r="O3" s="70">
        <v>45649</v>
      </c>
      <c r="P3" s="10" t="s">
        <v>42</v>
      </c>
      <c r="Q3" s="54" t="s">
        <v>41</v>
      </c>
      <c r="R3" s="54" t="s">
        <v>23</v>
      </c>
      <c r="S3" s="57">
        <v>45649</v>
      </c>
      <c r="T3" s="10"/>
      <c r="U3" s="70">
        <v>45638</v>
      </c>
      <c r="V3" s="70">
        <v>45648</v>
      </c>
      <c r="W3" s="70">
        <v>45692</v>
      </c>
      <c r="X3" s="55"/>
      <c r="Y3" s="8" t="s">
        <v>59</v>
      </c>
      <c r="Z3" s="10"/>
    </row>
    <row r="4" spans="1:26" hidden="1" x14ac:dyDescent="0.3">
      <c r="A4" s="8">
        <v>1</v>
      </c>
      <c r="B4" s="10" t="s">
        <v>47</v>
      </c>
      <c r="C4" s="10">
        <v>4500129825</v>
      </c>
      <c r="D4" s="10" t="s">
        <v>52</v>
      </c>
      <c r="E4" s="55"/>
      <c r="F4" s="10" t="s">
        <v>44</v>
      </c>
      <c r="G4" s="10"/>
      <c r="H4" s="10" t="s">
        <v>27</v>
      </c>
      <c r="I4" s="10" t="s">
        <v>49</v>
      </c>
      <c r="J4" s="70">
        <v>45676</v>
      </c>
      <c r="K4" s="71">
        <v>6735</v>
      </c>
      <c r="L4" s="10" t="s">
        <v>37</v>
      </c>
      <c r="M4" s="10" t="s">
        <v>24</v>
      </c>
      <c r="N4" s="10" t="s">
        <v>24</v>
      </c>
      <c r="O4" s="70">
        <v>45650</v>
      </c>
      <c r="P4" s="10" t="s">
        <v>42</v>
      </c>
      <c r="Q4" s="55" t="s">
        <v>48</v>
      </c>
      <c r="R4" s="55" t="s">
        <v>23</v>
      </c>
      <c r="S4" s="57">
        <v>45649</v>
      </c>
      <c r="T4" s="10"/>
      <c r="U4" s="70">
        <v>45647</v>
      </c>
      <c r="V4" s="70">
        <v>45649</v>
      </c>
      <c r="W4" s="70">
        <v>45692</v>
      </c>
      <c r="X4" s="55"/>
      <c r="Y4" s="8" t="s">
        <v>59</v>
      </c>
      <c r="Z4" s="10"/>
    </row>
    <row r="5" spans="1:26" hidden="1" x14ac:dyDescent="0.3">
      <c r="A5" s="8">
        <v>1</v>
      </c>
      <c r="B5" s="10" t="s">
        <v>35</v>
      </c>
      <c r="C5" s="10">
        <v>4500129799</v>
      </c>
      <c r="D5" s="10" t="s">
        <v>53</v>
      </c>
      <c r="E5" s="61"/>
      <c r="F5" s="10" t="s">
        <v>25</v>
      </c>
      <c r="G5" s="10"/>
      <c r="H5" s="10" t="s">
        <v>27</v>
      </c>
      <c r="I5" s="8" t="s">
        <v>31</v>
      </c>
      <c r="J5" s="10" t="s">
        <v>58</v>
      </c>
      <c r="K5" s="72">
        <f>6472.65+1113.1</f>
        <v>7585.75</v>
      </c>
      <c r="L5" s="10" t="s">
        <v>37</v>
      </c>
      <c r="M5" s="8" t="s">
        <v>24</v>
      </c>
      <c r="N5" s="8" t="s">
        <v>24</v>
      </c>
      <c r="O5" s="70">
        <v>45650</v>
      </c>
      <c r="P5" s="8" t="s">
        <v>38</v>
      </c>
      <c r="Q5" s="54" t="s">
        <v>32</v>
      </c>
      <c r="R5" s="54" t="s">
        <v>23</v>
      </c>
      <c r="S5" s="57">
        <v>45649</v>
      </c>
      <c r="T5" s="10"/>
      <c r="U5" s="70">
        <v>45646</v>
      </c>
      <c r="V5" s="70">
        <f>U5+5</f>
        <v>45651</v>
      </c>
      <c r="W5" s="70"/>
      <c r="X5" s="55"/>
      <c r="Y5" s="8" t="s">
        <v>59</v>
      </c>
      <c r="Z5" s="70">
        <v>45679</v>
      </c>
    </row>
    <row r="6" spans="1:26" hidden="1" x14ac:dyDescent="0.3">
      <c r="A6" s="8">
        <v>1</v>
      </c>
      <c r="B6" s="10" t="s">
        <v>46</v>
      </c>
      <c r="C6" s="10">
        <v>4500129827</v>
      </c>
      <c r="D6" s="10" t="s">
        <v>54</v>
      </c>
      <c r="E6" s="55"/>
      <c r="F6" s="10" t="s">
        <v>44</v>
      </c>
      <c r="G6" s="10"/>
      <c r="H6" s="10" t="s">
        <v>27</v>
      </c>
      <c r="I6" s="10" t="s">
        <v>45</v>
      </c>
      <c r="J6" s="8" t="s">
        <v>58</v>
      </c>
      <c r="K6" s="71">
        <v>3346</v>
      </c>
      <c r="L6" s="10" t="s">
        <v>28</v>
      </c>
      <c r="M6" s="10" t="s">
        <v>24</v>
      </c>
      <c r="N6" s="10" t="s">
        <v>24</v>
      </c>
      <c r="O6" s="70">
        <v>45650</v>
      </c>
      <c r="P6" s="10" t="s">
        <v>42</v>
      </c>
      <c r="Q6" s="55" t="s">
        <v>43</v>
      </c>
      <c r="R6" s="54" t="s">
        <v>23</v>
      </c>
      <c r="S6" s="57">
        <v>45649</v>
      </c>
      <c r="T6" s="10"/>
      <c r="U6" s="70">
        <v>45646</v>
      </c>
      <c r="V6" s="70">
        <v>45656</v>
      </c>
      <c r="W6" s="70">
        <v>45692</v>
      </c>
      <c r="X6" s="55"/>
      <c r="Y6" s="8" t="s">
        <v>59</v>
      </c>
      <c r="Z6" s="10"/>
    </row>
    <row r="7" spans="1:26" hidden="1" x14ac:dyDescent="0.3">
      <c r="A7" s="8">
        <v>1</v>
      </c>
      <c r="B7" s="10" t="s">
        <v>56</v>
      </c>
      <c r="C7" s="10">
        <v>4500130076</v>
      </c>
      <c r="D7" s="10" t="s">
        <v>57</v>
      </c>
      <c r="E7" s="55"/>
      <c r="F7" s="10" t="s">
        <v>55</v>
      </c>
      <c r="G7" s="10"/>
      <c r="H7" s="10" t="s">
        <v>27</v>
      </c>
      <c r="I7" s="10" t="s">
        <v>49</v>
      </c>
      <c r="J7" s="70">
        <v>45676</v>
      </c>
      <c r="K7" s="71">
        <v>19860.46</v>
      </c>
      <c r="L7" s="10" t="s">
        <v>37</v>
      </c>
      <c r="M7" s="10" t="s">
        <v>24</v>
      </c>
      <c r="N7" s="10" t="s">
        <v>24</v>
      </c>
      <c r="O7" s="70">
        <v>45663</v>
      </c>
      <c r="P7" s="10" t="s">
        <v>42</v>
      </c>
      <c r="Q7" s="55" t="s">
        <v>48</v>
      </c>
      <c r="R7" s="54" t="s">
        <v>23</v>
      </c>
      <c r="S7" s="57">
        <v>45663</v>
      </c>
      <c r="T7" s="10"/>
      <c r="U7" s="70">
        <v>45664</v>
      </c>
      <c r="V7" s="70">
        <f>U7+5</f>
        <v>45669</v>
      </c>
      <c r="W7" s="70">
        <v>45692</v>
      </c>
      <c r="X7" s="55"/>
      <c r="Y7" s="8" t="s">
        <v>59</v>
      </c>
      <c r="Z7" s="10"/>
    </row>
    <row r="8" spans="1:26" hidden="1" x14ac:dyDescent="0.3">
      <c r="A8" s="8">
        <v>1</v>
      </c>
      <c r="B8" s="10" t="s">
        <v>67</v>
      </c>
      <c r="C8" s="10">
        <v>4500130093</v>
      </c>
      <c r="D8" s="10" t="s">
        <v>53</v>
      </c>
      <c r="E8" s="55"/>
      <c r="F8" s="10" t="s">
        <v>60</v>
      </c>
      <c r="G8" s="10"/>
      <c r="H8" s="10" t="s">
        <v>27</v>
      </c>
      <c r="I8" s="10" t="s">
        <v>31</v>
      </c>
      <c r="J8" s="10" t="s">
        <v>58</v>
      </c>
      <c r="K8" s="71">
        <v>18034.77</v>
      </c>
      <c r="L8" s="10" t="s">
        <v>28</v>
      </c>
      <c r="M8" s="10" t="s">
        <v>24</v>
      </c>
      <c r="N8" s="10" t="s">
        <v>24</v>
      </c>
      <c r="O8" s="70">
        <v>45679</v>
      </c>
      <c r="P8" s="10" t="s">
        <v>63</v>
      </c>
      <c r="Q8" s="55" t="s">
        <v>41</v>
      </c>
      <c r="R8" s="54" t="s">
        <v>23</v>
      </c>
      <c r="S8" s="57">
        <v>45690</v>
      </c>
      <c r="T8" s="10"/>
      <c r="U8" s="70">
        <v>45679</v>
      </c>
      <c r="V8" s="70">
        <v>45682</v>
      </c>
      <c r="W8" s="70">
        <v>45693</v>
      </c>
      <c r="X8" s="55"/>
      <c r="Y8" s="8" t="s">
        <v>59</v>
      </c>
      <c r="Z8" s="10"/>
    </row>
    <row r="9" spans="1:26" hidden="1" x14ac:dyDescent="0.3">
      <c r="A9" s="8">
        <v>1</v>
      </c>
      <c r="B9" s="10" t="s">
        <v>68</v>
      </c>
      <c r="C9" s="10">
        <v>4500130093</v>
      </c>
      <c r="D9" s="10" t="s">
        <v>53</v>
      </c>
      <c r="E9" s="55"/>
      <c r="F9" s="10" t="s">
        <v>61</v>
      </c>
      <c r="G9" s="10"/>
      <c r="H9" s="10" t="s">
        <v>27</v>
      </c>
      <c r="I9" s="10" t="s">
        <v>69</v>
      </c>
      <c r="J9" s="10" t="s">
        <v>50</v>
      </c>
      <c r="K9" s="71">
        <v>11930</v>
      </c>
      <c r="L9" s="10" t="s">
        <v>37</v>
      </c>
      <c r="M9" s="10" t="s">
        <v>24</v>
      </c>
      <c r="N9" s="10" t="s">
        <v>24</v>
      </c>
      <c r="O9" s="70">
        <v>45679</v>
      </c>
      <c r="P9" s="10" t="s">
        <v>64</v>
      </c>
      <c r="Q9" s="55" t="s">
        <v>41</v>
      </c>
      <c r="R9" s="54" t="s">
        <v>23</v>
      </c>
      <c r="S9" s="57">
        <v>45690</v>
      </c>
      <c r="T9" s="10"/>
      <c r="U9" s="70">
        <v>45687</v>
      </c>
      <c r="V9" s="70">
        <v>45692</v>
      </c>
      <c r="W9" s="70">
        <v>45699</v>
      </c>
      <c r="X9" s="55"/>
      <c r="Y9" s="8" t="s">
        <v>59</v>
      </c>
      <c r="Z9" s="10"/>
    </row>
    <row r="10" spans="1:26" x14ac:dyDescent="0.3">
      <c r="A10" s="8">
        <v>1</v>
      </c>
      <c r="B10" s="10" t="s">
        <v>71</v>
      </c>
      <c r="C10" s="10">
        <v>4500130221</v>
      </c>
      <c r="D10" s="10" t="s">
        <v>53</v>
      </c>
      <c r="E10" s="55"/>
      <c r="F10" s="10" t="s">
        <v>70</v>
      </c>
      <c r="G10" s="10"/>
      <c r="H10" s="10" t="s">
        <v>27</v>
      </c>
      <c r="I10" s="10" t="s">
        <v>31</v>
      </c>
      <c r="J10" s="10" t="s">
        <v>50</v>
      </c>
      <c r="K10" s="71">
        <v>36364.61</v>
      </c>
      <c r="L10" s="10" t="s">
        <v>37</v>
      </c>
      <c r="M10" s="10" t="s">
        <v>24</v>
      </c>
      <c r="N10" s="10" t="s">
        <v>24</v>
      </c>
      <c r="O10" s="70">
        <v>45690</v>
      </c>
      <c r="P10" s="10" t="s">
        <v>65</v>
      </c>
      <c r="Q10" s="55" t="s">
        <v>41</v>
      </c>
      <c r="R10" s="54" t="s">
        <v>23</v>
      </c>
      <c r="S10" s="57">
        <v>45690</v>
      </c>
      <c r="T10" s="10"/>
      <c r="U10" s="70">
        <v>45688</v>
      </c>
      <c r="V10" s="70">
        <v>45695</v>
      </c>
      <c r="W10" s="70">
        <v>45705</v>
      </c>
      <c r="X10" s="55"/>
      <c r="Y10" s="8" t="s">
        <v>59</v>
      </c>
      <c r="Z10" s="10"/>
    </row>
    <row r="11" spans="1:26" x14ac:dyDescent="0.3">
      <c r="A11" s="8">
        <v>1</v>
      </c>
      <c r="B11" s="10"/>
      <c r="C11" s="10">
        <v>4500130304</v>
      </c>
      <c r="D11" s="10" t="s">
        <v>53</v>
      </c>
      <c r="E11" s="55"/>
      <c r="F11" s="10" t="s">
        <v>62</v>
      </c>
      <c r="G11" s="10"/>
      <c r="H11" s="10" t="s">
        <v>27</v>
      </c>
      <c r="I11" s="10"/>
      <c r="J11" s="10"/>
      <c r="K11" s="71"/>
      <c r="L11" s="10" t="s">
        <v>37</v>
      </c>
      <c r="M11" s="10" t="s">
        <v>24</v>
      </c>
      <c r="N11" s="10" t="s">
        <v>24</v>
      </c>
      <c r="O11" s="70"/>
      <c r="P11" s="10" t="s">
        <v>66</v>
      </c>
      <c r="Q11" s="55"/>
      <c r="R11" s="54"/>
      <c r="S11" s="57"/>
      <c r="T11" s="10"/>
      <c r="U11" s="70"/>
      <c r="V11" s="70"/>
      <c r="W11" s="70"/>
      <c r="X11" s="55"/>
      <c r="Y11" s="8" t="s">
        <v>59</v>
      </c>
      <c r="Z11" s="10"/>
    </row>
    <row r="12" spans="1:26" x14ac:dyDescent="0.3">
      <c r="A12" s="8">
        <v>1</v>
      </c>
      <c r="B12" s="10" t="s">
        <v>88</v>
      </c>
      <c r="C12" s="10">
        <v>4500130464</v>
      </c>
      <c r="D12" s="10" t="s">
        <v>54</v>
      </c>
      <c r="E12" s="55"/>
      <c r="F12" s="10" t="s">
        <v>74</v>
      </c>
      <c r="G12" s="10" t="s">
        <v>76</v>
      </c>
      <c r="H12" s="10" t="s">
        <v>73</v>
      </c>
      <c r="I12" s="10" t="s">
        <v>89</v>
      </c>
      <c r="J12" s="10" t="s">
        <v>58</v>
      </c>
      <c r="K12" s="71">
        <v>32210.3</v>
      </c>
      <c r="L12" s="10" t="s">
        <v>28</v>
      </c>
      <c r="M12" s="10" t="s">
        <v>28</v>
      </c>
      <c r="N12" s="9" t="s">
        <v>85</v>
      </c>
      <c r="O12" s="70" t="s">
        <v>28</v>
      </c>
      <c r="P12" s="10" t="s">
        <v>42</v>
      </c>
      <c r="Q12" s="55"/>
      <c r="R12" s="54"/>
      <c r="S12" s="57">
        <v>45741</v>
      </c>
      <c r="T12" s="10" t="s">
        <v>28</v>
      </c>
      <c r="U12" s="70">
        <v>45714</v>
      </c>
      <c r="V12" s="70">
        <v>45728</v>
      </c>
      <c r="W12" s="70">
        <v>45742</v>
      </c>
      <c r="X12" s="56">
        <v>45742</v>
      </c>
      <c r="Y12" s="8" t="s">
        <v>59</v>
      </c>
      <c r="Z12" s="70">
        <v>45742</v>
      </c>
    </row>
    <row r="13" spans="1:26" x14ac:dyDescent="0.3">
      <c r="A13" s="8">
        <v>1</v>
      </c>
      <c r="B13" s="10" t="s">
        <v>94</v>
      </c>
      <c r="C13" s="10">
        <v>4500130768</v>
      </c>
      <c r="D13" s="10" t="s">
        <v>51</v>
      </c>
      <c r="E13" s="55"/>
      <c r="F13" s="10" t="s">
        <v>74</v>
      </c>
      <c r="G13" s="10" t="s">
        <v>75</v>
      </c>
      <c r="H13" s="10" t="s">
        <v>27</v>
      </c>
      <c r="I13" s="10" t="s">
        <v>90</v>
      </c>
      <c r="J13" s="10" t="s">
        <v>58</v>
      </c>
      <c r="K13" s="71">
        <v>7298.15</v>
      </c>
      <c r="L13" s="10" t="s">
        <v>37</v>
      </c>
      <c r="M13" s="10" t="s">
        <v>24</v>
      </c>
      <c r="N13" s="9" t="s">
        <v>24</v>
      </c>
      <c r="O13" s="70" t="s">
        <v>28</v>
      </c>
      <c r="P13" s="10" t="s">
        <v>42</v>
      </c>
      <c r="Q13" s="55"/>
      <c r="R13" s="54"/>
      <c r="S13" s="57">
        <v>45741</v>
      </c>
      <c r="T13" s="10" t="s">
        <v>28</v>
      </c>
      <c r="U13" s="70">
        <v>45737</v>
      </c>
      <c r="V13" s="70">
        <v>45739</v>
      </c>
      <c r="W13" s="70">
        <v>45756</v>
      </c>
      <c r="X13" s="55"/>
      <c r="Y13" s="8" t="s">
        <v>59</v>
      </c>
      <c r="Z13" s="70">
        <v>45757</v>
      </c>
    </row>
    <row r="14" spans="1:26" x14ac:dyDescent="0.3">
      <c r="A14" s="8">
        <v>1</v>
      </c>
      <c r="B14" s="10" t="s">
        <v>93</v>
      </c>
      <c r="C14" s="10" t="s">
        <v>125</v>
      </c>
      <c r="D14" s="10" t="s">
        <v>57</v>
      </c>
      <c r="E14" s="55"/>
      <c r="F14" s="10" t="s">
        <v>74</v>
      </c>
      <c r="G14" s="10" t="s">
        <v>75</v>
      </c>
      <c r="H14" s="10" t="s">
        <v>27</v>
      </c>
      <c r="I14" s="10" t="s">
        <v>90</v>
      </c>
      <c r="J14" s="10" t="s">
        <v>58</v>
      </c>
      <c r="K14" s="71">
        <v>20070.72</v>
      </c>
      <c r="L14" s="10" t="s">
        <v>37</v>
      </c>
      <c r="M14" s="10" t="s">
        <v>24</v>
      </c>
      <c r="N14" s="9" t="s">
        <v>24</v>
      </c>
      <c r="O14" s="70" t="s">
        <v>28</v>
      </c>
      <c r="P14" s="10" t="s">
        <v>86</v>
      </c>
      <c r="Q14" s="55"/>
      <c r="R14" s="54"/>
      <c r="S14" s="57">
        <v>45741</v>
      </c>
      <c r="T14" s="10" t="s">
        <v>28</v>
      </c>
      <c r="U14" s="70">
        <v>45733</v>
      </c>
      <c r="V14" s="70">
        <f>U14+5</f>
        <v>45738</v>
      </c>
      <c r="W14" s="70">
        <v>45756</v>
      </c>
      <c r="X14" s="55"/>
      <c r="Y14" s="8" t="s">
        <v>59</v>
      </c>
      <c r="Z14" s="70">
        <v>45758</v>
      </c>
    </row>
    <row r="15" spans="1:26" x14ac:dyDescent="0.3">
      <c r="A15" s="8">
        <v>1</v>
      </c>
      <c r="B15" s="10" t="s">
        <v>92</v>
      </c>
      <c r="C15" s="10">
        <v>4500130822</v>
      </c>
      <c r="D15" s="10" t="s">
        <v>52</v>
      </c>
      <c r="E15" s="55"/>
      <c r="F15" s="10" t="s">
        <v>74</v>
      </c>
      <c r="G15" s="10" t="s">
        <v>75</v>
      </c>
      <c r="H15" s="10" t="s">
        <v>27</v>
      </c>
      <c r="I15" s="10" t="s">
        <v>91</v>
      </c>
      <c r="J15" s="10" t="s">
        <v>58</v>
      </c>
      <c r="K15" s="71">
        <v>9900</v>
      </c>
      <c r="L15" s="10" t="s">
        <v>37</v>
      </c>
      <c r="M15" s="10" t="s">
        <v>24</v>
      </c>
      <c r="N15" s="9" t="s">
        <v>24</v>
      </c>
      <c r="O15" s="70" t="s">
        <v>28</v>
      </c>
      <c r="P15" s="10" t="s">
        <v>42</v>
      </c>
      <c r="Q15" s="55"/>
      <c r="R15" s="54"/>
      <c r="S15" s="57">
        <v>45741</v>
      </c>
      <c r="T15" s="10" t="s">
        <v>28</v>
      </c>
      <c r="U15" s="70">
        <v>45737</v>
      </c>
      <c r="V15" s="70">
        <f>U15+5</f>
        <v>45742</v>
      </c>
      <c r="W15" s="70">
        <v>45756</v>
      </c>
      <c r="X15" s="55"/>
      <c r="Y15" s="8" t="s">
        <v>59</v>
      </c>
      <c r="Z15" s="70">
        <v>45757</v>
      </c>
    </row>
    <row r="16" spans="1:26" x14ac:dyDescent="0.3">
      <c r="A16" s="8">
        <v>1</v>
      </c>
      <c r="B16" s="10" t="s">
        <v>77</v>
      </c>
      <c r="C16" s="10">
        <v>4500130593</v>
      </c>
      <c r="D16" s="10" t="s">
        <v>53</v>
      </c>
      <c r="E16" s="55"/>
      <c r="F16" s="10" t="s">
        <v>74</v>
      </c>
      <c r="G16" s="10" t="s">
        <v>76</v>
      </c>
      <c r="H16" s="10" t="s">
        <v>73</v>
      </c>
      <c r="I16" s="10" t="s">
        <v>78</v>
      </c>
      <c r="J16" s="10" t="s">
        <v>58</v>
      </c>
      <c r="K16" s="71">
        <v>93266.91</v>
      </c>
      <c r="L16" s="10" t="s">
        <v>28</v>
      </c>
      <c r="M16" s="10" t="s">
        <v>28</v>
      </c>
      <c r="N16" s="9" t="s">
        <v>84</v>
      </c>
      <c r="O16" s="70" t="s">
        <v>28</v>
      </c>
      <c r="P16" s="10" t="s">
        <v>79</v>
      </c>
      <c r="Q16" s="55" t="s">
        <v>41</v>
      </c>
      <c r="R16" s="54" t="s">
        <v>81</v>
      </c>
      <c r="S16" s="57">
        <v>45741</v>
      </c>
      <c r="T16" s="10" t="s">
        <v>28</v>
      </c>
      <c r="U16" s="70">
        <v>45720</v>
      </c>
      <c r="V16" s="70">
        <v>45742</v>
      </c>
      <c r="W16" s="70">
        <v>45755</v>
      </c>
      <c r="X16" s="55"/>
      <c r="Y16" s="8" t="s">
        <v>59</v>
      </c>
      <c r="Z16" s="70">
        <v>45757</v>
      </c>
    </row>
    <row r="17" spans="1:26" x14ac:dyDescent="0.3">
      <c r="A17" s="8">
        <v>7</v>
      </c>
      <c r="B17" s="10"/>
      <c r="C17" s="10" t="s">
        <v>100</v>
      </c>
      <c r="D17" s="10" t="s">
        <v>57</v>
      </c>
      <c r="E17" s="55"/>
      <c r="F17" s="10" t="s">
        <v>114</v>
      </c>
      <c r="G17" s="10" t="s">
        <v>76</v>
      </c>
      <c r="H17" s="10" t="s">
        <v>27</v>
      </c>
      <c r="I17" s="10"/>
      <c r="J17" s="10" t="s">
        <v>87</v>
      </c>
      <c r="K17" s="71"/>
      <c r="L17" s="10" t="s">
        <v>37</v>
      </c>
      <c r="M17" s="10" t="s">
        <v>24</v>
      </c>
      <c r="N17" s="9" t="s">
        <v>24</v>
      </c>
      <c r="O17" s="70" t="s">
        <v>99</v>
      </c>
      <c r="P17" s="10" t="s">
        <v>115</v>
      </c>
      <c r="Q17" s="55"/>
      <c r="R17" s="54"/>
      <c r="S17" s="57"/>
      <c r="T17" s="70" t="s">
        <v>28</v>
      </c>
      <c r="U17" s="70">
        <v>45765</v>
      </c>
      <c r="V17" s="70">
        <v>45766</v>
      </c>
      <c r="W17" s="70">
        <v>45783</v>
      </c>
      <c r="X17" s="55"/>
      <c r="Y17" s="8" t="s">
        <v>59</v>
      </c>
      <c r="Z17" s="70">
        <v>45784</v>
      </c>
    </row>
    <row r="18" spans="1:26" x14ac:dyDescent="0.3">
      <c r="A18" s="64">
        <v>8</v>
      </c>
      <c r="B18" s="65"/>
      <c r="C18" s="65" t="s">
        <v>100</v>
      </c>
      <c r="D18" s="65" t="s">
        <v>97</v>
      </c>
      <c r="E18" s="58"/>
      <c r="F18" s="65" t="s">
        <v>98</v>
      </c>
      <c r="G18" s="65"/>
      <c r="H18" s="65" t="s">
        <v>27</v>
      </c>
      <c r="I18" s="65"/>
      <c r="J18" s="65" t="s">
        <v>58</v>
      </c>
      <c r="K18" s="73">
        <v>66045.820000000007</v>
      </c>
      <c r="L18" s="65" t="s">
        <v>37</v>
      </c>
      <c r="M18" s="65" t="s">
        <v>24</v>
      </c>
      <c r="N18" s="74" t="s">
        <v>24</v>
      </c>
      <c r="O18" s="75" t="s">
        <v>99</v>
      </c>
      <c r="P18" s="65" t="s">
        <v>124</v>
      </c>
      <c r="Q18" s="55"/>
      <c r="R18" s="54"/>
      <c r="S18" s="59"/>
      <c r="T18" s="65" t="s">
        <v>28</v>
      </c>
      <c r="U18" s="75">
        <v>45762</v>
      </c>
      <c r="V18" s="75">
        <v>45766</v>
      </c>
      <c r="W18" s="75">
        <v>45783</v>
      </c>
      <c r="X18" s="58"/>
      <c r="Y18" s="64" t="s">
        <v>59</v>
      </c>
      <c r="Z18" s="75">
        <v>45783</v>
      </c>
    </row>
    <row r="19" spans="1:26" ht="43.2" x14ac:dyDescent="0.3">
      <c r="A19" s="8">
        <v>1</v>
      </c>
      <c r="B19" s="66" t="s">
        <v>119</v>
      </c>
      <c r="C19" s="10">
        <v>4500130996</v>
      </c>
      <c r="D19" s="10" t="s">
        <v>53</v>
      </c>
      <c r="E19" s="41"/>
      <c r="F19" s="10" t="s">
        <v>113</v>
      </c>
      <c r="G19" s="10" t="s">
        <v>76</v>
      </c>
      <c r="H19" s="10" t="s">
        <v>73</v>
      </c>
      <c r="I19" s="10" t="s">
        <v>78</v>
      </c>
      <c r="J19" s="10" t="s">
        <v>103</v>
      </c>
      <c r="K19" s="71">
        <v>89490.75</v>
      </c>
      <c r="L19" s="10" t="s">
        <v>122</v>
      </c>
      <c r="M19" s="10" t="s">
        <v>28</v>
      </c>
      <c r="N19" s="9" t="s">
        <v>83</v>
      </c>
      <c r="O19" s="70" t="s">
        <v>99</v>
      </c>
      <c r="P19" s="10" t="s">
        <v>108</v>
      </c>
      <c r="Q19" s="12"/>
      <c r="R19" s="11"/>
      <c r="S19" s="45"/>
      <c r="T19" s="10" t="s">
        <v>28</v>
      </c>
      <c r="U19" s="70">
        <v>45765</v>
      </c>
      <c r="V19" s="70">
        <v>45779</v>
      </c>
      <c r="W19" s="70">
        <v>45790</v>
      </c>
      <c r="X19" s="41"/>
      <c r="Y19" s="8" t="s">
        <v>59</v>
      </c>
      <c r="Z19" s="70">
        <v>45731</v>
      </c>
    </row>
    <row r="20" spans="1:26" x14ac:dyDescent="0.3">
      <c r="A20" s="8">
        <v>10</v>
      </c>
      <c r="B20" s="10"/>
      <c r="C20" s="10">
        <v>4500131471</v>
      </c>
      <c r="D20" s="10" t="s">
        <v>52</v>
      </c>
      <c r="E20" s="30"/>
      <c r="F20" s="10" t="s">
        <v>95</v>
      </c>
      <c r="G20" s="10"/>
      <c r="H20" s="10" t="s">
        <v>27</v>
      </c>
      <c r="I20" s="10" t="s">
        <v>146</v>
      </c>
      <c r="J20" s="10" t="s">
        <v>87</v>
      </c>
      <c r="K20" s="71"/>
      <c r="L20" s="10" t="s">
        <v>122</v>
      </c>
      <c r="M20" s="10" t="s">
        <v>87</v>
      </c>
      <c r="N20" s="70" t="s">
        <v>24</v>
      </c>
      <c r="O20" s="70" t="s">
        <v>99</v>
      </c>
      <c r="P20" s="10" t="s">
        <v>42</v>
      </c>
      <c r="Q20" s="34"/>
      <c r="R20" s="33">
        <v>45775</v>
      </c>
      <c r="S20" s="33"/>
      <c r="T20" s="10" t="s">
        <v>28</v>
      </c>
      <c r="U20" s="70">
        <v>45784</v>
      </c>
      <c r="V20" s="70">
        <v>45785</v>
      </c>
      <c r="W20" s="68">
        <v>45796</v>
      </c>
      <c r="X20" s="30"/>
      <c r="Y20" s="8" t="s">
        <v>59</v>
      </c>
      <c r="Z20" s="70">
        <v>45802</v>
      </c>
    </row>
    <row r="21" spans="1:26" x14ac:dyDescent="0.3">
      <c r="A21" s="8">
        <v>11</v>
      </c>
      <c r="B21" s="10"/>
      <c r="C21" s="10">
        <v>4500131583</v>
      </c>
      <c r="D21" s="10" t="s">
        <v>52</v>
      </c>
      <c r="E21" s="30" t="s">
        <v>95</v>
      </c>
      <c r="F21" s="10" t="s">
        <v>95</v>
      </c>
      <c r="G21" s="10"/>
      <c r="H21" s="10" t="s">
        <v>27</v>
      </c>
      <c r="I21" s="10" t="s">
        <v>146</v>
      </c>
      <c r="J21" s="71" t="s">
        <v>103</v>
      </c>
      <c r="K21" s="10"/>
      <c r="L21" s="10" t="s">
        <v>87</v>
      </c>
      <c r="M21" s="70" t="s">
        <v>24</v>
      </c>
      <c r="N21" s="70" t="s">
        <v>24</v>
      </c>
      <c r="O21" s="70" t="s">
        <v>99</v>
      </c>
      <c r="P21" s="10" t="s">
        <v>42</v>
      </c>
      <c r="Q21" s="33">
        <v>45792</v>
      </c>
      <c r="R21" s="33">
        <v>45794</v>
      </c>
      <c r="S21" s="34">
        <v>45799</v>
      </c>
      <c r="T21" s="8" t="s">
        <v>28</v>
      </c>
      <c r="U21" s="70">
        <v>45792</v>
      </c>
      <c r="V21" s="70">
        <v>45794</v>
      </c>
      <c r="W21" s="68">
        <f>V21+5</f>
        <v>45799</v>
      </c>
      <c r="Y21" s="8" t="s">
        <v>59</v>
      </c>
      <c r="Z21" s="70">
        <v>45802</v>
      </c>
    </row>
    <row r="22" spans="1:26" ht="72" x14ac:dyDescent="0.3">
      <c r="A22" s="8">
        <v>2</v>
      </c>
      <c r="B22" s="66" t="s">
        <v>121</v>
      </c>
      <c r="C22" s="10">
        <v>4500131009</v>
      </c>
      <c r="D22" s="10" t="s">
        <v>53</v>
      </c>
      <c r="E22" s="41"/>
      <c r="F22" s="10" t="s">
        <v>101</v>
      </c>
      <c r="G22" s="10" t="s">
        <v>102</v>
      </c>
      <c r="H22" s="10" t="s">
        <v>73</v>
      </c>
      <c r="I22" s="10" t="s">
        <v>78</v>
      </c>
      <c r="J22" s="10" t="s">
        <v>87</v>
      </c>
      <c r="K22" s="71">
        <v>240817.3</v>
      </c>
      <c r="L22" s="10" t="s">
        <v>122</v>
      </c>
      <c r="M22" s="10" t="s">
        <v>28</v>
      </c>
      <c r="N22" s="9" t="s">
        <v>105</v>
      </c>
      <c r="O22" s="70" t="s">
        <v>99</v>
      </c>
      <c r="P22" s="10" t="s">
        <v>109</v>
      </c>
      <c r="Q22" s="12"/>
      <c r="R22" s="11"/>
      <c r="S22" s="45"/>
      <c r="T22" s="10" t="s">
        <v>28</v>
      </c>
      <c r="U22" s="70">
        <v>45770</v>
      </c>
      <c r="V22" s="70">
        <v>45788</v>
      </c>
      <c r="W22" s="70">
        <f>V22+10</f>
        <v>45798</v>
      </c>
      <c r="X22" s="41"/>
      <c r="Y22" s="8" t="s">
        <v>59</v>
      </c>
      <c r="Z22" s="70">
        <v>45800</v>
      </c>
    </row>
    <row r="23" spans="1:26" ht="57.6" x14ac:dyDescent="0.3">
      <c r="A23" s="8">
        <v>4</v>
      </c>
      <c r="B23" s="78" t="s">
        <v>139</v>
      </c>
      <c r="C23" s="10">
        <v>4500131337</v>
      </c>
      <c r="D23" s="10" t="s">
        <v>57</v>
      </c>
      <c r="E23" s="10"/>
      <c r="F23" s="10" t="s">
        <v>95</v>
      </c>
      <c r="G23" s="10" t="s">
        <v>131</v>
      </c>
      <c r="H23" s="10" t="s">
        <v>73</v>
      </c>
      <c r="I23" s="10" t="s">
        <v>116</v>
      </c>
      <c r="J23" s="10" t="s">
        <v>58</v>
      </c>
      <c r="K23" s="71"/>
      <c r="L23" s="10" t="s">
        <v>28</v>
      </c>
      <c r="M23" s="10" t="s">
        <v>28</v>
      </c>
      <c r="N23" s="9" t="s">
        <v>117</v>
      </c>
      <c r="O23" s="70" t="s">
        <v>99</v>
      </c>
      <c r="P23" s="10" t="s">
        <v>112</v>
      </c>
      <c r="Q23" s="68"/>
      <c r="R23" s="70" t="s">
        <v>28</v>
      </c>
      <c r="S23" s="10"/>
      <c r="T23" s="10" t="s">
        <v>28</v>
      </c>
      <c r="U23" s="70">
        <v>45774</v>
      </c>
      <c r="V23" s="70">
        <v>45792</v>
      </c>
      <c r="W23" s="70">
        <v>45804</v>
      </c>
      <c r="X23" s="10"/>
      <c r="Y23" s="8" t="s">
        <v>59</v>
      </c>
      <c r="Z23" s="68">
        <v>45807</v>
      </c>
    </row>
    <row r="24" spans="1:26" x14ac:dyDescent="0.3">
      <c r="A24" s="8">
        <v>8</v>
      </c>
      <c r="B24" s="10" t="s">
        <v>123</v>
      </c>
      <c r="C24" s="10">
        <v>4500131330</v>
      </c>
      <c r="D24" s="10" t="s">
        <v>52</v>
      </c>
      <c r="E24" s="10"/>
      <c r="F24" s="10" t="s">
        <v>95</v>
      </c>
      <c r="G24" s="10" t="s">
        <v>104</v>
      </c>
      <c r="H24" s="10" t="s">
        <v>73</v>
      </c>
      <c r="I24" s="10" t="s">
        <v>145</v>
      </c>
      <c r="J24" s="10" t="s">
        <v>103</v>
      </c>
      <c r="K24" s="71"/>
      <c r="L24" s="10" t="s">
        <v>122</v>
      </c>
      <c r="M24" s="10" t="s">
        <v>28</v>
      </c>
      <c r="N24" s="9" t="s">
        <v>106</v>
      </c>
      <c r="O24" s="70" t="s">
        <v>99</v>
      </c>
      <c r="P24" s="10" t="s">
        <v>111</v>
      </c>
      <c r="Q24" s="10"/>
      <c r="R24" s="8"/>
      <c r="S24" s="68"/>
      <c r="T24" s="70" t="s">
        <v>28</v>
      </c>
      <c r="U24" s="70">
        <v>45786</v>
      </c>
      <c r="V24" s="70">
        <v>45802</v>
      </c>
      <c r="W24" s="70">
        <f>V24+5</f>
        <v>45807</v>
      </c>
      <c r="X24" s="10"/>
      <c r="Y24" s="8" t="s">
        <v>59</v>
      </c>
      <c r="Z24" s="70">
        <v>45809</v>
      </c>
    </row>
    <row r="25" spans="1:26" x14ac:dyDescent="0.3">
      <c r="A25" s="80"/>
      <c r="B25" s="80" t="s">
        <v>120</v>
      </c>
      <c r="C25" s="81" t="s">
        <v>100</v>
      </c>
      <c r="D25" s="81" t="s">
        <v>53</v>
      </c>
      <c r="E25" s="41"/>
      <c r="F25" s="81" t="s">
        <v>113</v>
      </c>
      <c r="G25" s="81" t="s">
        <v>76</v>
      </c>
      <c r="H25" s="81" t="s">
        <v>27</v>
      </c>
      <c r="I25" s="81"/>
      <c r="J25" s="81" t="s">
        <v>103</v>
      </c>
      <c r="K25" s="82"/>
      <c r="L25" s="81" t="s">
        <v>122</v>
      </c>
      <c r="M25" s="81" t="s">
        <v>24</v>
      </c>
      <c r="N25" s="83" t="s">
        <v>24</v>
      </c>
      <c r="O25" s="83" t="s">
        <v>99</v>
      </c>
      <c r="P25" s="81" t="s">
        <v>82</v>
      </c>
      <c r="Q25" s="12"/>
      <c r="R25" s="11"/>
      <c r="S25" s="45"/>
      <c r="T25" s="81" t="s">
        <v>28</v>
      </c>
      <c r="U25" s="83"/>
      <c r="V25" s="83">
        <v>45787</v>
      </c>
      <c r="W25" s="83">
        <v>45803</v>
      </c>
      <c r="X25" s="41"/>
      <c r="Y25" s="80" t="s">
        <v>59</v>
      </c>
      <c r="Z25" s="81"/>
    </row>
    <row r="26" spans="1:26" x14ac:dyDescent="0.3">
      <c r="A26" s="40"/>
      <c r="B26" s="41"/>
      <c r="C26" s="41">
        <v>4500131562</v>
      </c>
      <c r="D26" s="41" t="s">
        <v>53</v>
      </c>
      <c r="E26" s="41"/>
      <c r="F26" s="41" t="s">
        <v>95</v>
      </c>
      <c r="G26" s="41" t="s">
        <v>130</v>
      </c>
      <c r="H26" s="41" t="s">
        <v>73</v>
      </c>
      <c r="I26" s="41" t="s">
        <v>78</v>
      </c>
      <c r="J26" s="79" t="s">
        <v>159</v>
      </c>
      <c r="K26" s="42">
        <v>189898.34093852481</v>
      </c>
      <c r="L26" s="79" t="s">
        <v>160</v>
      </c>
      <c r="M26" s="79" t="s">
        <v>159</v>
      </c>
      <c r="N26" s="43" t="s">
        <v>161</v>
      </c>
      <c r="O26" s="44" t="s">
        <v>162</v>
      </c>
      <c r="P26" s="41" t="s">
        <v>109</v>
      </c>
      <c r="Q26" s="11"/>
      <c r="R26" s="13">
        <v>45793</v>
      </c>
      <c r="S26" s="40"/>
      <c r="T26" s="79" t="s">
        <v>159</v>
      </c>
      <c r="U26" s="45">
        <v>45796</v>
      </c>
      <c r="V26" s="44">
        <v>45819</v>
      </c>
      <c r="W26" s="45">
        <f>V26+10</f>
        <v>45829</v>
      </c>
      <c r="X26" s="41"/>
      <c r="Y26" s="40" t="s">
        <v>80</v>
      </c>
      <c r="Z26" s="40"/>
    </row>
    <row r="27" spans="1:26" x14ac:dyDescent="0.3">
      <c r="A27" s="40"/>
      <c r="B27" s="41"/>
      <c r="C27" s="41">
        <v>4500131652</v>
      </c>
      <c r="D27" s="41" t="s">
        <v>53</v>
      </c>
      <c r="E27" s="41"/>
      <c r="F27" s="41" t="s">
        <v>95</v>
      </c>
      <c r="G27" s="41" t="s">
        <v>120</v>
      </c>
      <c r="H27" s="41" t="s">
        <v>73</v>
      </c>
      <c r="I27" s="41" t="s">
        <v>78</v>
      </c>
      <c r="J27" s="41"/>
      <c r="K27" s="42">
        <v>303696.199550791</v>
      </c>
      <c r="L27" s="41"/>
      <c r="M27" s="79" t="s">
        <v>159</v>
      </c>
      <c r="N27" s="43" t="s">
        <v>163</v>
      </c>
      <c r="O27" s="44" t="s">
        <v>162</v>
      </c>
      <c r="P27" s="41" t="s">
        <v>109</v>
      </c>
      <c r="Q27" s="11"/>
      <c r="R27" s="13"/>
      <c r="S27" s="40"/>
      <c r="T27" s="79" t="s">
        <v>159</v>
      </c>
      <c r="U27" s="45">
        <v>45807</v>
      </c>
      <c r="V27" s="44">
        <v>45824</v>
      </c>
      <c r="W27" s="45"/>
      <c r="X27" s="41"/>
      <c r="Y27" s="40" t="s">
        <v>80</v>
      </c>
      <c r="Z27" s="40"/>
    </row>
    <row r="28" spans="1:26" x14ac:dyDescent="0.3">
      <c r="A28" s="40"/>
      <c r="B28" s="41"/>
      <c r="C28" s="41">
        <v>4500131746</v>
      </c>
      <c r="D28" s="41" t="s">
        <v>53</v>
      </c>
      <c r="E28" s="41"/>
      <c r="F28" s="41" t="s">
        <v>95</v>
      </c>
      <c r="G28" s="41" t="s">
        <v>120</v>
      </c>
      <c r="H28" s="41" t="s">
        <v>73</v>
      </c>
      <c r="I28" s="41" t="s">
        <v>78</v>
      </c>
      <c r="J28" s="41"/>
      <c r="K28" s="42">
        <v>248450.8174073635</v>
      </c>
      <c r="L28" s="41"/>
      <c r="M28" s="41"/>
      <c r="N28" s="43" t="s">
        <v>164</v>
      </c>
      <c r="O28" s="44" t="s">
        <v>165</v>
      </c>
      <c r="P28" s="41" t="s">
        <v>166</v>
      </c>
      <c r="Q28" s="11"/>
      <c r="R28" s="13"/>
      <c r="S28" s="40"/>
      <c r="T28" s="79" t="s">
        <v>159</v>
      </c>
      <c r="U28" s="45">
        <v>45807</v>
      </c>
      <c r="V28" s="44">
        <v>45824</v>
      </c>
      <c r="W28" s="45"/>
      <c r="X28" s="41"/>
      <c r="Y28" s="40" t="s">
        <v>80</v>
      </c>
      <c r="Z28" s="40"/>
    </row>
    <row r="29" spans="1:26" x14ac:dyDescent="0.3">
      <c r="A29" s="40"/>
      <c r="B29" s="41"/>
      <c r="C29" s="41"/>
      <c r="D29" s="41" t="s">
        <v>53</v>
      </c>
      <c r="E29" s="41"/>
      <c r="F29" s="41" t="s">
        <v>95</v>
      </c>
      <c r="G29" s="41" t="s">
        <v>120</v>
      </c>
      <c r="H29" s="41" t="s">
        <v>73</v>
      </c>
      <c r="I29" s="41"/>
      <c r="J29" s="41"/>
      <c r="K29" s="42">
        <v>47806.419999999991</v>
      </c>
      <c r="L29" s="41"/>
      <c r="M29" s="41"/>
      <c r="N29" s="43" t="s">
        <v>168</v>
      </c>
      <c r="O29" s="44"/>
      <c r="P29" s="41" t="s">
        <v>167</v>
      </c>
      <c r="Q29" s="11"/>
      <c r="R29" s="13"/>
      <c r="S29" s="40"/>
      <c r="T29" s="45">
        <v>45812</v>
      </c>
      <c r="U29" s="45"/>
      <c r="V29" s="44"/>
      <c r="W29" s="45"/>
      <c r="X29" s="41"/>
      <c r="Y29" s="40" t="s">
        <v>129</v>
      </c>
      <c r="Z29" s="40"/>
    </row>
    <row r="30" spans="1:26" x14ac:dyDescent="0.3">
      <c r="A30" s="40"/>
      <c r="B30" s="41"/>
      <c r="C30" s="41"/>
      <c r="D30" s="41" t="s">
        <v>53</v>
      </c>
      <c r="E30" s="41"/>
      <c r="F30" s="43"/>
      <c r="G30" s="42"/>
      <c r="H30" s="41" t="s">
        <v>73</v>
      </c>
      <c r="I30" s="41"/>
      <c r="J30" s="43"/>
      <c r="K30" s="42">
        <v>48400</v>
      </c>
      <c r="L30" s="41"/>
      <c r="M30" s="44"/>
      <c r="N30" s="45"/>
      <c r="O30" s="44"/>
      <c r="P30" s="40" t="s">
        <v>173</v>
      </c>
      <c r="Q30" s="40"/>
      <c r="R30" s="13"/>
      <c r="S30" s="40"/>
      <c r="T30" s="45">
        <v>45812</v>
      </c>
      <c r="U30" s="45"/>
      <c r="V30" s="44"/>
      <c r="W30" s="45"/>
      <c r="X30" s="41"/>
      <c r="Y30" s="40" t="s">
        <v>129</v>
      </c>
      <c r="Z30" s="40"/>
    </row>
    <row r="31" spans="1:26" ht="28.8" hidden="1" x14ac:dyDescent="0.3">
      <c r="A31" s="21">
        <v>5</v>
      </c>
      <c r="B31" s="62" t="s">
        <v>169</v>
      </c>
      <c r="C31" s="22">
        <v>4500131609</v>
      </c>
      <c r="D31" s="22" t="s">
        <v>57</v>
      </c>
      <c r="E31" s="22"/>
      <c r="F31" s="22" t="s">
        <v>95</v>
      </c>
      <c r="G31" s="22" t="s">
        <v>132</v>
      </c>
      <c r="H31" s="22" t="s">
        <v>73</v>
      </c>
      <c r="I31" s="22" t="s">
        <v>116</v>
      </c>
      <c r="J31" s="22" t="s">
        <v>103</v>
      </c>
      <c r="K31" s="23"/>
      <c r="L31" s="22" t="s">
        <v>122</v>
      </c>
      <c r="M31" s="22" t="s">
        <v>150</v>
      </c>
      <c r="N31" s="24" t="s">
        <v>126</v>
      </c>
      <c r="O31" s="25" t="s">
        <v>99</v>
      </c>
      <c r="P31" s="28" t="s">
        <v>147</v>
      </c>
      <c r="Q31" s="26"/>
      <c r="R31" s="25" t="s">
        <v>28</v>
      </c>
      <c r="S31" s="28"/>
      <c r="T31" s="28" t="s">
        <v>28</v>
      </c>
      <c r="U31" s="25">
        <v>45788</v>
      </c>
      <c r="V31" s="25">
        <v>45802</v>
      </c>
      <c r="W31" s="25">
        <f>V31+10</f>
        <v>45812</v>
      </c>
      <c r="X31" s="22"/>
      <c r="Y31" s="27" t="s">
        <v>33</v>
      </c>
      <c r="Z31" s="27"/>
    </row>
    <row r="32" spans="1:26" hidden="1" x14ac:dyDescent="0.3">
      <c r="A32" s="21"/>
      <c r="B32" s="62"/>
      <c r="C32" s="22" t="s">
        <v>37</v>
      </c>
      <c r="D32" s="22" t="s">
        <v>57</v>
      </c>
      <c r="E32" s="22"/>
      <c r="F32" s="22" t="s">
        <v>95</v>
      </c>
      <c r="G32" s="22"/>
      <c r="H32" s="22" t="s">
        <v>73</v>
      </c>
      <c r="I32" s="22" t="s">
        <v>116</v>
      </c>
      <c r="J32" s="22" t="s">
        <v>87</v>
      </c>
      <c r="K32" s="23"/>
      <c r="L32" s="22" t="s">
        <v>87</v>
      </c>
      <c r="M32" s="22" t="s">
        <v>87</v>
      </c>
      <c r="N32" s="24" t="s">
        <v>157</v>
      </c>
      <c r="O32" s="25" t="s">
        <v>87</v>
      </c>
      <c r="P32" s="28" t="s">
        <v>152</v>
      </c>
      <c r="Q32" s="26"/>
      <c r="R32" s="25"/>
      <c r="S32" s="28"/>
      <c r="T32" s="77">
        <v>45810</v>
      </c>
      <c r="U32" s="25"/>
      <c r="V32" s="25"/>
      <c r="W32" s="25"/>
      <c r="X32" s="22"/>
      <c r="Y32" s="27" t="s">
        <v>129</v>
      </c>
      <c r="Z32" s="27"/>
    </row>
    <row r="33" spans="1:26" hidden="1" x14ac:dyDescent="0.3">
      <c r="A33" s="46">
        <v>6</v>
      </c>
      <c r="B33" s="47" t="s">
        <v>170</v>
      </c>
      <c r="C33" s="47">
        <v>4500131113</v>
      </c>
      <c r="D33" s="47" t="s">
        <v>51</v>
      </c>
      <c r="E33" s="47"/>
      <c r="F33" s="47" t="s">
        <v>95</v>
      </c>
      <c r="G33" s="47"/>
      <c r="H33" s="47" t="s">
        <v>73</v>
      </c>
      <c r="I33" s="47" t="s">
        <v>171</v>
      </c>
      <c r="J33" s="79" t="s">
        <v>159</v>
      </c>
      <c r="K33" s="48">
        <v>24692.28</v>
      </c>
      <c r="L33" s="79" t="s">
        <v>159</v>
      </c>
      <c r="M33" s="79" t="s">
        <v>159</v>
      </c>
      <c r="N33" s="49" t="s">
        <v>96</v>
      </c>
      <c r="O33" s="50" t="s">
        <v>172</v>
      </c>
      <c r="P33" s="47" t="s">
        <v>110</v>
      </c>
      <c r="Q33" s="12"/>
      <c r="R33" s="11"/>
      <c r="S33" s="51"/>
      <c r="T33" s="47" t="s">
        <v>28</v>
      </c>
      <c r="U33" s="50">
        <v>45774</v>
      </c>
      <c r="V33" s="50">
        <v>45807</v>
      </c>
      <c r="W33" s="50">
        <f>V33+5</f>
        <v>45812</v>
      </c>
      <c r="X33" s="47"/>
      <c r="Y33" s="46" t="s">
        <v>33</v>
      </c>
      <c r="Z33" s="47"/>
    </row>
    <row r="34" spans="1:26" hidden="1" x14ac:dyDescent="0.3">
      <c r="A34" s="35">
        <v>7</v>
      </c>
      <c r="B34" s="36"/>
      <c r="C34" s="36" t="s">
        <v>37</v>
      </c>
      <c r="D34" s="36" t="s">
        <v>118</v>
      </c>
      <c r="E34" s="36"/>
      <c r="F34" s="36" t="s">
        <v>95</v>
      </c>
      <c r="G34" s="30"/>
      <c r="H34" s="36" t="s">
        <v>73</v>
      </c>
      <c r="I34" s="36"/>
      <c r="J34" s="36" t="s">
        <v>87</v>
      </c>
      <c r="K34" s="37"/>
      <c r="L34" s="36" t="s">
        <v>37</v>
      </c>
      <c r="M34" s="36" t="s">
        <v>87</v>
      </c>
      <c r="N34" s="38" t="s">
        <v>127</v>
      </c>
      <c r="O34" s="39"/>
      <c r="P34" s="36" t="s">
        <v>110</v>
      </c>
      <c r="Q34" s="35"/>
      <c r="R34" s="39"/>
      <c r="S34" s="35"/>
      <c r="T34" s="39" t="s">
        <v>28</v>
      </c>
      <c r="U34" s="76">
        <v>45807</v>
      </c>
      <c r="V34" s="39">
        <f>U34+20</f>
        <v>45827</v>
      </c>
      <c r="W34" s="76">
        <f>V34+5</f>
        <v>45832</v>
      </c>
      <c r="X34" s="36"/>
      <c r="Y34" s="35" t="s">
        <v>80</v>
      </c>
      <c r="Z34" s="36"/>
    </row>
    <row r="35" spans="1:26" hidden="1" x14ac:dyDescent="0.3">
      <c r="A35" s="29">
        <v>9</v>
      </c>
      <c r="B35" s="63" t="s">
        <v>154</v>
      </c>
      <c r="C35" s="30">
        <v>4500131609</v>
      </c>
      <c r="D35" s="30" t="s">
        <v>52</v>
      </c>
      <c r="E35" s="30"/>
      <c r="F35" s="30" t="s">
        <v>95</v>
      </c>
      <c r="G35" s="30"/>
      <c r="H35" s="30" t="s">
        <v>73</v>
      </c>
      <c r="I35" s="30" t="s">
        <v>116</v>
      </c>
      <c r="J35" s="30" t="s">
        <v>103</v>
      </c>
      <c r="K35" s="31"/>
      <c r="L35" s="30" t="s">
        <v>28</v>
      </c>
      <c r="M35" s="30" t="s">
        <v>28</v>
      </c>
      <c r="N35" s="32" t="s">
        <v>128</v>
      </c>
      <c r="O35" s="33" t="s">
        <v>99</v>
      </c>
      <c r="P35" s="30" t="s">
        <v>111</v>
      </c>
      <c r="Q35" s="34"/>
      <c r="R35" s="33">
        <v>45775</v>
      </c>
      <c r="S35" s="33"/>
      <c r="T35" s="30" t="s">
        <v>28</v>
      </c>
      <c r="U35" s="33">
        <v>45802</v>
      </c>
      <c r="V35" s="33">
        <v>45815</v>
      </c>
      <c r="W35" s="34">
        <f>V35+5</f>
        <v>45820</v>
      </c>
      <c r="X35" s="30"/>
      <c r="Y35" s="29" t="s">
        <v>80</v>
      </c>
      <c r="Z35" s="30"/>
    </row>
    <row r="36" spans="1:26" hidden="1" x14ac:dyDescent="0.3">
      <c r="A36" s="29">
        <v>9</v>
      </c>
      <c r="B36" s="63" t="s">
        <v>153</v>
      </c>
      <c r="C36" s="30">
        <v>4500131792</v>
      </c>
      <c r="D36" s="30" t="s">
        <v>52</v>
      </c>
      <c r="E36" s="30" t="s">
        <v>95</v>
      </c>
      <c r="F36" s="30" t="s">
        <v>95</v>
      </c>
      <c r="G36" s="30"/>
      <c r="H36" s="30" t="s">
        <v>73</v>
      </c>
      <c r="I36" s="30" t="s">
        <v>116</v>
      </c>
      <c r="J36" s="31" t="s">
        <v>87</v>
      </c>
      <c r="K36" s="30"/>
      <c r="L36" s="30" t="s">
        <v>87</v>
      </c>
      <c r="M36" s="32"/>
      <c r="N36" s="32" t="s">
        <v>151</v>
      </c>
      <c r="O36" s="30" t="s">
        <v>87</v>
      </c>
      <c r="P36" s="30" t="s">
        <v>111</v>
      </c>
      <c r="Q36" s="33">
        <v>45801</v>
      </c>
      <c r="R36" s="33">
        <v>45819</v>
      </c>
      <c r="S36" s="34">
        <v>45824</v>
      </c>
      <c r="T36" s="29" t="s">
        <v>28</v>
      </c>
      <c r="U36" s="33">
        <v>45802</v>
      </c>
      <c r="V36" s="33">
        <v>45815</v>
      </c>
      <c r="W36" s="34">
        <f>V36+5</f>
        <v>45820</v>
      </c>
      <c r="X36" s="30"/>
      <c r="Y36" s="29" t="s">
        <v>80</v>
      </c>
      <c r="Z36" s="30"/>
    </row>
    <row r="37" spans="1:26" hidden="1" x14ac:dyDescent="0.3">
      <c r="A37" s="29">
        <v>9</v>
      </c>
      <c r="B37" s="63"/>
      <c r="C37" s="30" t="s">
        <v>37</v>
      </c>
      <c r="D37" s="30" t="s">
        <v>52</v>
      </c>
      <c r="E37" s="30" t="s">
        <v>95</v>
      </c>
      <c r="F37" s="30" t="s">
        <v>95</v>
      </c>
      <c r="G37" s="30"/>
      <c r="H37" s="30" t="s">
        <v>73</v>
      </c>
      <c r="I37" s="30" t="s">
        <v>116</v>
      </c>
      <c r="J37" s="31" t="s">
        <v>87</v>
      </c>
      <c r="K37" s="30"/>
      <c r="L37" s="30" t="s">
        <v>87</v>
      </c>
      <c r="M37" s="32"/>
      <c r="N37" s="32" t="s">
        <v>155</v>
      </c>
      <c r="O37" s="30" t="s">
        <v>87</v>
      </c>
      <c r="P37" s="30" t="s">
        <v>111</v>
      </c>
      <c r="Q37" s="33"/>
      <c r="R37" s="33"/>
      <c r="S37" s="34"/>
      <c r="T37" s="29" t="s">
        <v>28</v>
      </c>
      <c r="U37" s="33">
        <v>45811</v>
      </c>
      <c r="V37" s="33">
        <v>45823</v>
      </c>
      <c r="W37" s="34">
        <f>V37+5</f>
        <v>45828</v>
      </c>
      <c r="X37" s="30"/>
      <c r="Y37" s="29" t="s">
        <v>80</v>
      </c>
      <c r="Z37" s="30"/>
    </row>
    <row r="38" spans="1:26" hidden="1" x14ac:dyDescent="0.3">
      <c r="A38" s="29"/>
      <c r="B38" s="63"/>
      <c r="C38" s="30" t="s">
        <v>37</v>
      </c>
      <c r="D38" s="30" t="s">
        <v>52</v>
      </c>
      <c r="E38" s="30"/>
      <c r="F38" s="30" t="s">
        <v>95</v>
      </c>
      <c r="G38" s="30"/>
      <c r="H38" s="30" t="s">
        <v>73</v>
      </c>
      <c r="I38" s="30" t="s">
        <v>116</v>
      </c>
      <c r="J38" s="31" t="s">
        <v>87</v>
      </c>
      <c r="K38" s="30"/>
      <c r="L38" s="30" t="s">
        <v>87</v>
      </c>
      <c r="M38" s="32"/>
      <c r="N38" s="32" t="s">
        <v>156</v>
      </c>
      <c r="O38" s="30" t="s">
        <v>87</v>
      </c>
      <c r="P38" s="30" t="s">
        <v>111</v>
      </c>
      <c r="Q38" s="33"/>
      <c r="R38" s="33"/>
      <c r="S38" s="34"/>
      <c r="T38" s="29" t="s">
        <v>28</v>
      </c>
      <c r="U38" s="33"/>
      <c r="V38" s="33"/>
      <c r="W38" s="34"/>
      <c r="X38" s="30"/>
      <c r="Y38" s="29" t="s">
        <v>80</v>
      </c>
      <c r="Z38" s="30"/>
    </row>
    <row r="39" spans="1:26" hidden="1" x14ac:dyDescent="0.3">
      <c r="A39" s="84">
        <v>12</v>
      </c>
      <c r="B39" s="85"/>
      <c r="C39" s="85"/>
      <c r="D39" s="85" t="s">
        <v>54</v>
      </c>
      <c r="E39" s="30"/>
      <c r="F39" s="85" t="s">
        <v>95</v>
      </c>
      <c r="G39" s="85"/>
      <c r="H39" s="85" t="s">
        <v>73</v>
      </c>
      <c r="I39" s="85" t="s">
        <v>78</v>
      </c>
      <c r="J39" s="86" t="s">
        <v>159</v>
      </c>
      <c r="K39" s="87">
        <v>45629.89</v>
      </c>
      <c r="L39" s="85"/>
      <c r="M39" s="85"/>
      <c r="N39" s="88"/>
      <c r="O39" s="88" t="s">
        <v>165</v>
      </c>
      <c r="P39" s="85" t="s">
        <v>42</v>
      </c>
      <c r="Q39" s="34"/>
      <c r="R39" s="33">
        <v>45775</v>
      </c>
      <c r="S39" s="33"/>
      <c r="T39" s="84" t="s">
        <v>28</v>
      </c>
      <c r="U39" s="88">
        <v>45804</v>
      </c>
      <c r="V39" s="88">
        <v>45819</v>
      </c>
      <c r="W39" s="89" t="s">
        <v>120</v>
      </c>
      <c r="X39" s="30"/>
      <c r="Y39" s="84" t="s">
        <v>80</v>
      </c>
      <c r="Z39" s="85"/>
    </row>
    <row r="40" spans="1:26" ht="24" hidden="1" thickBot="1" x14ac:dyDescent="0.5">
      <c r="A40" s="94" t="s">
        <v>138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6"/>
      <c r="Q40" s="97"/>
      <c r="R40" s="97"/>
      <c r="S40" s="94"/>
      <c r="T40" s="95"/>
      <c r="U40" s="95"/>
      <c r="V40" s="95"/>
      <c r="W40" s="95"/>
      <c r="X40" s="95"/>
      <c r="Y40" s="95"/>
      <c r="Z40" s="96"/>
    </row>
    <row r="41" spans="1:26" hidden="1" x14ac:dyDescent="0.3">
      <c r="A41" s="52">
        <v>1</v>
      </c>
      <c r="B41" s="16"/>
      <c r="C41" s="16"/>
      <c r="D41" s="16" t="s">
        <v>57</v>
      </c>
      <c r="E41" s="16"/>
      <c r="F41" s="16" t="s">
        <v>133</v>
      </c>
      <c r="G41" s="16"/>
      <c r="H41" s="16"/>
      <c r="I41" s="16"/>
      <c r="J41" s="16"/>
      <c r="K41" s="17"/>
      <c r="L41" s="16"/>
      <c r="M41" s="16"/>
      <c r="N41" s="19"/>
      <c r="O41" s="18"/>
      <c r="P41" s="16"/>
      <c r="Q41" s="12"/>
      <c r="R41" s="11"/>
      <c r="S41" s="20"/>
      <c r="T41" s="18" t="s">
        <v>140</v>
      </c>
      <c r="U41" s="18"/>
      <c r="V41" s="18"/>
      <c r="W41" s="18"/>
      <c r="X41" s="16"/>
      <c r="Y41" s="15" t="s">
        <v>107</v>
      </c>
      <c r="Z41" s="16"/>
    </row>
    <row r="42" spans="1:26" hidden="1" x14ac:dyDescent="0.3">
      <c r="A42" s="52">
        <v>1</v>
      </c>
      <c r="B42" s="16"/>
      <c r="C42" s="16"/>
      <c r="D42" s="53" t="s">
        <v>57</v>
      </c>
      <c r="E42" s="16"/>
      <c r="F42" s="16" t="s">
        <v>134</v>
      </c>
      <c r="G42" s="16"/>
      <c r="H42" s="16"/>
      <c r="I42" s="16"/>
      <c r="J42" s="16"/>
      <c r="K42" s="17"/>
      <c r="L42" s="16"/>
      <c r="M42" s="16"/>
      <c r="N42" s="19"/>
      <c r="O42" s="18"/>
      <c r="P42" s="16"/>
      <c r="Q42" s="12"/>
      <c r="R42" s="11"/>
      <c r="S42" s="20"/>
      <c r="T42" s="18" t="s">
        <v>141</v>
      </c>
      <c r="U42" s="18"/>
      <c r="V42" s="18"/>
      <c r="W42" s="18"/>
      <c r="X42" s="16"/>
      <c r="Y42" s="15" t="s">
        <v>107</v>
      </c>
      <c r="Z42" s="16"/>
    </row>
    <row r="43" spans="1:26" hidden="1" x14ac:dyDescent="0.3">
      <c r="A43" s="52">
        <v>1</v>
      </c>
      <c r="B43" s="16"/>
      <c r="C43" s="16"/>
      <c r="D43" s="53" t="s">
        <v>57</v>
      </c>
      <c r="E43" s="16"/>
      <c r="F43" s="16" t="s">
        <v>135</v>
      </c>
      <c r="G43" s="16"/>
      <c r="H43" s="16"/>
      <c r="I43" s="16"/>
      <c r="J43" s="16"/>
      <c r="K43" s="17"/>
      <c r="L43" s="16"/>
      <c r="M43" s="16"/>
      <c r="N43" s="19"/>
      <c r="O43" s="18"/>
      <c r="P43" s="16"/>
      <c r="Q43" s="12"/>
      <c r="R43" s="11"/>
      <c r="S43" s="20"/>
      <c r="T43" s="18" t="s">
        <v>142</v>
      </c>
      <c r="U43" s="18"/>
      <c r="V43" s="18"/>
      <c r="W43" s="18"/>
      <c r="X43" s="16"/>
      <c r="Y43" s="15" t="s">
        <v>107</v>
      </c>
      <c r="Z43" s="16"/>
    </row>
    <row r="44" spans="1:26" hidden="1" x14ac:dyDescent="0.3">
      <c r="A44" s="52">
        <v>1</v>
      </c>
      <c r="B44" s="16"/>
      <c r="C44" s="16"/>
      <c r="D44" s="53" t="s">
        <v>57</v>
      </c>
      <c r="E44" s="16"/>
      <c r="F44" s="16" t="s">
        <v>136</v>
      </c>
      <c r="G44" s="16"/>
      <c r="H44" s="16"/>
      <c r="I44" s="16"/>
      <c r="J44" s="16"/>
      <c r="K44" s="17"/>
      <c r="L44" s="16"/>
      <c r="M44" s="16"/>
      <c r="N44" s="19"/>
      <c r="O44" s="18"/>
      <c r="P44" s="16"/>
      <c r="Q44" s="12"/>
      <c r="R44" s="11"/>
      <c r="S44" s="20"/>
      <c r="T44" s="18" t="s">
        <v>143</v>
      </c>
      <c r="U44" s="18"/>
      <c r="V44" s="18"/>
      <c r="W44" s="18"/>
      <c r="X44" s="16"/>
      <c r="Y44" s="15" t="s">
        <v>107</v>
      </c>
      <c r="Z44" s="16"/>
    </row>
    <row r="45" spans="1:26" hidden="1" x14ac:dyDescent="0.3">
      <c r="A45" s="52">
        <v>1</v>
      </c>
      <c r="B45" s="16"/>
      <c r="C45" s="16"/>
      <c r="D45" s="53" t="s">
        <v>57</v>
      </c>
      <c r="E45" s="16"/>
      <c r="F45" s="16" t="s">
        <v>137</v>
      </c>
      <c r="G45" s="16"/>
      <c r="H45" s="16"/>
      <c r="I45" s="16"/>
      <c r="J45" s="16"/>
      <c r="K45" s="17"/>
      <c r="L45" s="16"/>
      <c r="M45" s="16"/>
      <c r="N45" s="19"/>
      <c r="O45" s="18"/>
      <c r="P45" s="16"/>
      <c r="Q45" s="12"/>
      <c r="R45" s="11"/>
      <c r="S45" s="20"/>
      <c r="T45" s="18" t="s">
        <v>144</v>
      </c>
      <c r="U45" s="18"/>
      <c r="V45" s="18"/>
      <c r="W45" s="18"/>
      <c r="X45" s="16"/>
      <c r="Y45" s="15" t="s">
        <v>107</v>
      </c>
      <c r="Z45" s="16"/>
    </row>
    <row r="46" spans="1:26" hidden="1" x14ac:dyDescent="0.3">
      <c r="A46" s="52">
        <v>1</v>
      </c>
      <c r="B46" s="16"/>
      <c r="C46" s="16" t="s">
        <v>37</v>
      </c>
      <c r="D46" s="16" t="s">
        <v>51</v>
      </c>
      <c r="E46" s="16"/>
      <c r="F46" s="16" t="s">
        <v>95</v>
      </c>
      <c r="G46" s="16"/>
      <c r="H46" s="16" t="s">
        <v>73</v>
      </c>
      <c r="I46" s="16"/>
      <c r="J46" s="16"/>
      <c r="K46" s="17"/>
      <c r="L46" s="16"/>
      <c r="M46" s="16"/>
      <c r="N46" s="19"/>
      <c r="O46" s="18"/>
      <c r="P46" s="16"/>
      <c r="Q46" s="14"/>
      <c r="R46" s="12" t="s">
        <v>28</v>
      </c>
      <c r="S46" s="18"/>
      <c r="T46" s="18" t="s">
        <v>148</v>
      </c>
      <c r="U46" s="18"/>
      <c r="V46" s="16"/>
      <c r="W46" s="15"/>
      <c r="X46" s="16"/>
      <c r="Y46" s="15" t="s">
        <v>107</v>
      </c>
      <c r="Z46" s="16"/>
    </row>
    <row r="47" spans="1:26" hidden="1" x14ac:dyDescent="0.3">
      <c r="A47" s="52">
        <v>1</v>
      </c>
      <c r="B47" s="16"/>
      <c r="C47" s="16" t="s">
        <v>37</v>
      </c>
      <c r="D47" s="16" t="s">
        <v>51</v>
      </c>
      <c r="E47" s="16"/>
      <c r="F47" s="16" t="s">
        <v>95</v>
      </c>
      <c r="G47" s="16"/>
      <c r="H47" s="16" t="s">
        <v>73</v>
      </c>
      <c r="I47" s="16"/>
      <c r="J47" s="16"/>
      <c r="K47" s="17"/>
      <c r="L47" s="16"/>
      <c r="M47" s="16"/>
      <c r="N47" s="19"/>
      <c r="O47" s="18"/>
      <c r="P47" s="16"/>
      <c r="Q47" s="14"/>
      <c r="R47" s="12" t="s">
        <v>28</v>
      </c>
      <c r="S47" s="18"/>
      <c r="T47" s="18" t="s">
        <v>149</v>
      </c>
      <c r="U47" s="18"/>
      <c r="V47" s="16"/>
      <c r="W47" s="15"/>
      <c r="X47" s="16"/>
      <c r="Y47" s="15" t="s">
        <v>107</v>
      </c>
      <c r="Z47" s="16"/>
    </row>
    <row r="48" spans="1:26" hidden="1" x14ac:dyDescent="0.3">
      <c r="A48" s="52">
        <v>1</v>
      </c>
      <c r="B48" s="16"/>
      <c r="C48" s="16" t="s">
        <v>37</v>
      </c>
      <c r="D48" s="16" t="s">
        <v>118</v>
      </c>
      <c r="E48" s="16"/>
      <c r="F48" s="16" t="s">
        <v>95</v>
      </c>
      <c r="G48" s="16"/>
      <c r="H48" s="16" t="s">
        <v>73</v>
      </c>
      <c r="I48" s="16"/>
      <c r="J48" s="16"/>
      <c r="K48" s="17"/>
      <c r="L48" s="16"/>
      <c r="M48" s="16"/>
      <c r="N48" s="19"/>
      <c r="O48" s="18"/>
      <c r="P48" s="16"/>
      <c r="Q48" s="13"/>
      <c r="R48" s="13">
        <v>45837</v>
      </c>
      <c r="S48" s="18"/>
      <c r="T48" s="18">
        <v>45812</v>
      </c>
      <c r="U48" s="15"/>
      <c r="V48" s="16"/>
      <c r="W48" s="15"/>
      <c r="X48" s="16"/>
      <c r="Y48" s="15" t="s">
        <v>158</v>
      </c>
      <c r="Z48" s="16"/>
    </row>
    <row r="49" spans="1:26" hidden="1" x14ac:dyDescent="0.3">
      <c r="A49" s="52">
        <v>1</v>
      </c>
      <c r="B49" s="16"/>
      <c r="C49" s="16" t="s">
        <v>37</v>
      </c>
      <c r="D49" s="16" t="s">
        <v>118</v>
      </c>
      <c r="E49" s="16"/>
      <c r="F49" s="16" t="s">
        <v>95</v>
      </c>
      <c r="G49" s="16"/>
      <c r="H49" s="16" t="s">
        <v>73</v>
      </c>
      <c r="I49" s="16"/>
      <c r="J49" s="16"/>
      <c r="K49" s="17"/>
      <c r="L49" s="16"/>
      <c r="M49" s="16"/>
      <c r="N49" s="19"/>
      <c r="O49" s="18"/>
      <c r="P49" s="16"/>
      <c r="Q49" s="13"/>
      <c r="R49" s="13">
        <v>45837</v>
      </c>
      <c r="S49" s="18"/>
      <c r="T49" s="18">
        <v>45812</v>
      </c>
      <c r="U49" s="15"/>
      <c r="V49" s="16"/>
      <c r="W49" s="15"/>
      <c r="X49" s="16"/>
      <c r="Y49" s="15" t="s">
        <v>158</v>
      </c>
      <c r="Z49" s="16"/>
    </row>
    <row r="50" spans="1:26" hidden="1" x14ac:dyDescent="0.3">
      <c r="A50" s="52">
        <v>1</v>
      </c>
      <c r="B50" s="16"/>
      <c r="C50" s="16" t="s">
        <v>37</v>
      </c>
      <c r="D50" s="16" t="s">
        <v>118</v>
      </c>
      <c r="E50" s="16"/>
      <c r="F50" s="16" t="s">
        <v>95</v>
      </c>
      <c r="G50" s="16"/>
      <c r="H50" s="16" t="s">
        <v>73</v>
      </c>
      <c r="I50" s="16"/>
      <c r="J50" s="16"/>
      <c r="K50" s="17"/>
      <c r="L50" s="16"/>
      <c r="M50" s="16"/>
      <c r="N50" s="19"/>
      <c r="O50" s="18"/>
      <c r="P50" s="16"/>
      <c r="Q50" s="13"/>
      <c r="R50" s="13">
        <v>45837</v>
      </c>
      <c r="S50" s="18"/>
      <c r="T50" s="18">
        <v>45812</v>
      </c>
      <c r="U50" s="15"/>
      <c r="V50" s="16"/>
      <c r="W50" s="15"/>
      <c r="X50" s="16"/>
      <c r="Y50" s="15" t="s">
        <v>158</v>
      </c>
      <c r="Z50" s="16"/>
    </row>
  </sheetData>
  <autoFilter ref="A1:Z50" xr:uid="{E8D7BCAE-001E-49A7-9BE9-F3230C5C5101}">
    <filterColumn colId="3">
      <filters>
        <filter val="Adient Zaragoza, Spain:21004595"/>
      </filters>
    </filterColumn>
    <filterColumn colId="24">
      <filters blank="1">
        <filter val="CC"/>
        <filter val="In transit"/>
        <filter val="Waiting for items to be ready for pick up"/>
        <filter val="Waiting for pick up"/>
      </filters>
    </filterColumn>
    <sortState xmlns:xlrd2="http://schemas.microsoft.com/office/spreadsheetml/2017/richdata2" ref="A2:Z50">
      <sortCondition sortBy="cellColor" ref="Y1:Y39" dxfId="0"/>
    </sortState>
  </autoFilter>
  <mergeCells count="1">
    <mergeCell ref="A40:Z40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23C6-F618-4092-9814-6E0A691D7C87}">
  <dimension ref="A1:A12"/>
  <sheetViews>
    <sheetView tabSelected="1" workbookViewId="0">
      <selection activeCell="C18" sqref="C18"/>
    </sheetView>
  </sheetViews>
  <sheetFormatPr defaultRowHeight="14.4" x14ac:dyDescent="0.3"/>
  <cols>
    <col min="1" max="1" width="18.44140625" customWidth="1"/>
  </cols>
  <sheetData>
    <row r="1" spans="1:1" ht="22.2" customHeight="1" x14ac:dyDescent="0.3">
      <c r="A1" s="99" t="s">
        <v>186</v>
      </c>
    </row>
    <row r="2" spans="1:1" x14ac:dyDescent="0.3">
      <c r="A2" s="98" t="s">
        <v>187</v>
      </c>
    </row>
    <row r="3" spans="1:1" x14ac:dyDescent="0.3">
      <c r="A3" s="98" t="s">
        <v>188</v>
      </c>
    </row>
    <row r="4" spans="1:1" x14ac:dyDescent="0.3">
      <c r="A4" s="98" t="s">
        <v>189</v>
      </c>
    </row>
    <row r="5" spans="1:1" x14ac:dyDescent="0.3">
      <c r="A5" s="98" t="s">
        <v>190</v>
      </c>
    </row>
    <row r="6" spans="1:1" x14ac:dyDescent="0.3">
      <c r="A6" s="98" t="s">
        <v>191</v>
      </c>
    </row>
    <row r="7" spans="1:1" x14ac:dyDescent="0.3">
      <c r="A7" s="98" t="s">
        <v>192</v>
      </c>
    </row>
    <row r="8" spans="1:1" x14ac:dyDescent="0.3">
      <c r="A8" s="98" t="s">
        <v>193</v>
      </c>
    </row>
    <row r="9" spans="1:1" x14ac:dyDescent="0.3">
      <c r="A9" s="98" t="s">
        <v>194</v>
      </c>
    </row>
    <row r="10" spans="1:1" x14ac:dyDescent="0.3">
      <c r="A10" s="98" t="s">
        <v>195</v>
      </c>
    </row>
    <row r="11" spans="1:1" x14ac:dyDescent="0.3">
      <c r="A11" s="98" t="s">
        <v>196</v>
      </c>
    </row>
    <row r="12" spans="1:1" x14ac:dyDescent="0.3">
      <c r="A12" s="98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335A-7C47-4755-BB92-33403C3C7C87}">
  <dimension ref="A1:G8"/>
  <sheetViews>
    <sheetView zoomScaleNormal="100" workbookViewId="0">
      <selection activeCell="C12" sqref="C12"/>
    </sheetView>
  </sheetViews>
  <sheetFormatPr defaultRowHeight="14.4" x14ac:dyDescent="0.3"/>
  <cols>
    <col min="1" max="1" width="3" style="3" customWidth="1"/>
    <col min="2" max="2" width="34" style="3" bestFit="1" customWidth="1"/>
    <col min="3" max="3" width="34" style="3" customWidth="1"/>
    <col min="4" max="4" width="16.5546875" style="3" bestFit="1" customWidth="1"/>
    <col min="5" max="5" width="10" style="3" bestFit="1" customWidth="1"/>
    <col min="6" max="6" width="16.44140625" style="3" bestFit="1" customWidth="1"/>
    <col min="7" max="7" width="17" style="3" bestFit="1" customWidth="1"/>
    <col min="8" max="16384" width="8.88671875" style="3"/>
  </cols>
  <sheetData>
    <row r="1" spans="1:7" x14ac:dyDescent="0.3">
      <c r="A1" s="91" t="s">
        <v>174</v>
      </c>
      <c r="B1" s="90" t="s">
        <v>2</v>
      </c>
      <c r="C1" s="92" t="s">
        <v>181</v>
      </c>
      <c r="D1" s="90" t="s">
        <v>185</v>
      </c>
      <c r="E1" s="90"/>
      <c r="F1" s="90"/>
      <c r="G1" s="90"/>
    </row>
    <row r="2" spans="1:7" x14ac:dyDescent="0.3">
      <c r="A2" s="91"/>
      <c r="B2" s="90"/>
      <c r="C2" s="93"/>
      <c r="D2" s="11" t="s">
        <v>177</v>
      </c>
      <c r="E2" s="11" t="s">
        <v>178</v>
      </c>
      <c r="F2" s="11" t="s">
        <v>179</v>
      </c>
      <c r="G2" s="11" t="s">
        <v>180</v>
      </c>
    </row>
    <row r="3" spans="1:7" x14ac:dyDescent="0.3">
      <c r="A3" s="11">
        <f>ROW()-2</f>
        <v>1</v>
      </c>
      <c r="B3" s="11" t="s">
        <v>52</v>
      </c>
      <c r="C3" s="11" t="s">
        <v>182</v>
      </c>
      <c r="D3" s="11">
        <v>25</v>
      </c>
      <c r="E3" s="11">
        <v>20</v>
      </c>
      <c r="F3" s="11">
        <v>10</v>
      </c>
      <c r="G3" s="11">
        <v>5</v>
      </c>
    </row>
    <row r="4" spans="1:7" x14ac:dyDescent="0.3">
      <c r="A4" s="11">
        <f t="shared" ref="A4:A8" si="0">ROW()-2</f>
        <v>2</v>
      </c>
      <c r="B4" s="11" t="s">
        <v>57</v>
      </c>
      <c r="C4" s="11" t="s">
        <v>182</v>
      </c>
      <c r="D4" s="11">
        <v>35</v>
      </c>
      <c r="E4" s="11">
        <v>20</v>
      </c>
      <c r="F4" s="11">
        <v>10</v>
      </c>
      <c r="G4" s="11">
        <v>5</v>
      </c>
    </row>
    <row r="5" spans="1:7" x14ac:dyDescent="0.3">
      <c r="A5" s="11">
        <f t="shared" si="0"/>
        <v>3</v>
      </c>
      <c r="B5" s="11" t="s">
        <v>175</v>
      </c>
      <c r="C5" s="11" t="s">
        <v>183</v>
      </c>
      <c r="D5" s="11">
        <v>45</v>
      </c>
      <c r="E5" s="11">
        <v>12</v>
      </c>
      <c r="F5" s="11">
        <v>10</v>
      </c>
      <c r="G5" s="11">
        <v>5</v>
      </c>
    </row>
    <row r="6" spans="1:7" x14ac:dyDescent="0.3">
      <c r="A6" s="11">
        <f t="shared" si="0"/>
        <v>4</v>
      </c>
      <c r="B6" s="11" t="s">
        <v>54</v>
      </c>
      <c r="C6" s="11" t="s">
        <v>184</v>
      </c>
      <c r="D6" s="11">
        <v>25</v>
      </c>
      <c r="E6" s="11">
        <v>10</v>
      </c>
      <c r="F6" s="11">
        <v>10</v>
      </c>
      <c r="G6" s="11">
        <v>5</v>
      </c>
    </row>
    <row r="7" spans="1:7" x14ac:dyDescent="0.3">
      <c r="A7" s="11">
        <f t="shared" si="0"/>
        <v>5</v>
      </c>
      <c r="B7" s="11" t="s">
        <v>176</v>
      </c>
      <c r="C7" s="11" t="s">
        <v>182</v>
      </c>
      <c r="D7" s="11">
        <v>30</v>
      </c>
      <c r="E7" s="11">
        <v>15</v>
      </c>
      <c r="F7" s="11">
        <v>10</v>
      </c>
      <c r="G7" s="11">
        <v>5</v>
      </c>
    </row>
    <row r="8" spans="1:7" x14ac:dyDescent="0.3">
      <c r="A8" s="11">
        <f t="shared" si="0"/>
        <v>6</v>
      </c>
      <c r="B8" s="11" t="s">
        <v>51</v>
      </c>
      <c r="C8" s="11" t="s">
        <v>183</v>
      </c>
      <c r="D8" s="11">
        <v>30</v>
      </c>
      <c r="E8" s="11">
        <v>12</v>
      </c>
      <c r="F8" s="11">
        <v>10</v>
      </c>
      <c r="G8" s="11">
        <v>5</v>
      </c>
    </row>
  </sheetData>
  <mergeCells count="4">
    <mergeCell ref="D1:G1"/>
    <mergeCell ref="B1:B2"/>
    <mergeCell ref="A1:A2"/>
    <mergeCell ref="C1:C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Automotive Accounts</vt:lpstr>
      <vt:lpstr>Citroen's 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mahmoud</dc:creator>
  <cp:lastModifiedBy>mohamed2018112</cp:lastModifiedBy>
  <dcterms:created xsi:type="dcterms:W3CDTF">2024-12-23T08:33:21Z</dcterms:created>
  <dcterms:modified xsi:type="dcterms:W3CDTF">2026-08-19T06:35:54Z</dcterms:modified>
</cp:coreProperties>
</file>