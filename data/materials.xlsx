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CF5F0D1B-D500-493C-835F-5BE37D043B9D}" xr6:coauthVersionLast="47" xr6:coauthVersionMax="47" xr10:uidLastSave="{00000000-0000-0000-0000-000000000000}"/>
  <bookViews>
    <workbookView xWindow="-108" yWindow="-108" windowWidth="23256" windowHeight="12456" tabRatio="617" xr2:uid="{B0616ADA-1BC3-407E-827A-4765A8CB18E9}"/>
  </bookViews>
  <sheets>
    <sheet name="Adient Seating Spain" sheetId="1" r:id="rId1"/>
    <sheet name="Adient Kinetra" sheetId="5" r:id="rId2"/>
    <sheet name="Tesca Spain" sheetId="6" r:id="rId3"/>
    <sheet name="Tesca Morocco " sheetId="11" r:id="rId4"/>
    <sheet name="Sage Italy" sheetId="7" r:id="rId5"/>
    <sheet name="Sage Kintra" sheetId="8" r:id="rId6"/>
    <sheet name="Sheet1" sheetId="12" state="hidden" r:id="rId7"/>
    <sheet name="4x40 summary" sheetId="4" state="hidden" r:id="rId8"/>
  </sheets>
  <definedNames>
    <definedName name="_xlnm._FilterDatabase" localSheetId="1" hidden="1">'Adient Kinetra'!$B$2:$H$59</definedName>
    <definedName name="_xlnm._FilterDatabase" localSheetId="0" hidden="1">'Adient Seating Spain'!$B$2:$J$90</definedName>
    <definedName name="_xlnm._FilterDatabase" localSheetId="4" hidden="1">'Sage Italy'!$B$2:$H$2</definedName>
    <definedName name="_xlnm._FilterDatabase" localSheetId="5" hidden="1">'Sage Kintra'!$B$2:$H$2</definedName>
    <definedName name="_xlnm._FilterDatabase" localSheetId="3" hidden="1">'Tesca Morocco '!$B$2:$H$2</definedName>
    <definedName name="_xlnm._FilterDatabase" localSheetId="2" hidden="1">'Tesca Spain'!$B$2:$H$2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5" l="1"/>
  <c r="M48" i="5" l="1"/>
  <c r="L58" i="5"/>
  <c r="M27" i="5"/>
  <c r="L5" i="5"/>
  <c r="J6" i="5"/>
  <c r="L6" i="5"/>
  <c r="K58" i="5"/>
  <c r="J58" i="5"/>
  <c r="K6" i="5"/>
  <c r="K5" i="5"/>
  <c r="J5" i="5"/>
  <c r="M34" i="5" l="1"/>
  <c r="L40" i="5"/>
  <c r="L13" i="5"/>
  <c r="M23" i="5"/>
  <c r="L9" i="5"/>
  <c r="M29" i="5"/>
  <c r="L56" i="5"/>
  <c r="L17" i="5"/>
  <c r="M25" i="5"/>
  <c r="L52" i="5"/>
  <c r="M53" i="5"/>
  <c r="L29" i="5"/>
  <c r="M37" i="5"/>
  <c r="L22" i="5"/>
  <c r="M30" i="5"/>
  <c r="L31" i="5"/>
  <c r="M39" i="5"/>
  <c r="M43" i="5"/>
  <c r="L25" i="5"/>
  <c r="M33" i="5"/>
  <c r="M28" i="5"/>
  <c r="L36" i="5"/>
  <c r="L15" i="5"/>
  <c r="M44" i="5"/>
  <c r="M31" i="5"/>
  <c r="L3" i="5"/>
  <c r="L37" i="5"/>
  <c r="M45" i="5"/>
  <c r="L30" i="5"/>
  <c r="M38" i="5"/>
  <c r="L39" i="5"/>
  <c r="M47" i="5"/>
  <c r="L8" i="5"/>
  <c r="M26" i="5"/>
  <c r="L33" i="5"/>
  <c r="M41" i="5"/>
  <c r="M52" i="5"/>
  <c r="L7" i="5"/>
  <c r="M35" i="5"/>
  <c r="L51" i="5"/>
  <c r="L43" i="5"/>
  <c r="L44" i="5"/>
  <c r="M22" i="5"/>
  <c r="L50" i="5"/>
  <c r="L10" i="5"/>
  <c r="L4" i="5"/>
  <c r="L42" i="5"/>
  <c r="L45" i="5"/>
  <c r="M54" i="5"/>
  <c r="L38" i="5"/>
  <c r="M46" i="5"/>
  <c r="L47" i="5"/>
  <c r="M56" i="5"/>
  <c r="L16" i="5"/>
  <c r="M24" i="5"/>
  <c r="M42" i="5"/>
  <c r="L41" i="5"/>
  <c r="M49" i="5"/>
  <c r="L27" i="5"/>
  <c r="M21" i="5"/>
  <c r="L48" i="5"/>
  <c r="M17" i="5"/>
  <c r="L14" i="5"/>
  <c r="M19" i="5"/>
  <c r="M59" i="5"/>
  <c r="L53" i="5"/>
  <c r="L34" i="5"/>
  <c r="L46" i="5"/>
  <c r="M55" i="5"/>
  <c r="L55" i="5"/>
  <c r="M51" i="5"/>
  <c r="L24" i="5"/>
  <c r="M32" i="5"/>
  <c r="L19" i="5"/>
  <c r="L49" i="5"/>
  <c r="M58" i="5"/>
  <c r="L28" i="5"/>
  <c r="M57" i="5"/>
  <c r="M36" i="5"/>
  <c r="L18" i="5"/>
  <c r="L21" i="5"/>
  <c r="L23" i="5"/>
  <c r="L12" i="5"/>
  <c r="L20" i="5"/>
  <c r="M20" i="5"/>
  <c r="L59" i="5"/>
  <c r="M18" i="5"/>
  <c r="L54" i="5"/>
  <c r="L26" i="5"/>
  <c r="L11" i="5"/>
  <c r="L32" i="5"/>
  <c r="M40" i="5"/>
  <c r="L35" i="5"/>
  <c r="L57" i="5"/>
  <c r="I13" i="5"/>
  <c r="M13" i="5"/>
  <c r="I6" i="5"/>
  <c r="M6" i="5"/>
  <c r="I15" i="5"/>
  <c r="M15" i="5"/>
  <c r="I9" i="5"/>
  <c r="M9" i="5"/>
  <c r="I3" i="5"/>
  <c r="M3" i="5"/>
  <c r="I14" i="5"/>
  <c r="M14" i="5"/>
  <c r="I12" i="5"/>
  <c r="M12" i="5"/>
  <c r="I8" i="5"/>
  <c r="M8" i="5"/>
  <c r="I10" i="5"/>
  <c r="M10" i="5"/>
  <c r="I4" i="5"/>
  <c r="M4" i="5"/>
  <c r="I16" i="5"/>
  <c r="M16" i="5"/>
  <c r="I5" i="5"/>
  <c r="M5" i="5"/>
  <c r="I7" i="5"/>
  <c r="M7" i="5"/>
  <c r="I11" i="5"/>
  <c r="M11" i="5"/>
  <c r="K37" i="5"/>
  <c r="J37" i="5"/>
  <c r="K38" i="5"/>
  <c r="J38" i="5"/>
  <c r="K47" i="5"/>
  <c r="J47" i="5"/>
  <c r="K16" i="5"/>
  <c r="J16" i="5"/>
  <c r="K41" i="5"/>
  <c r="J41" i="5"/>
  <c r="J22" i="5"/>
  <c r="K22" i="5"/>
  <c r="K30" i="5"/>
  <c r="J30" i="5"/>
  <c r="K53" i="5"/>
  <c r="J53" i="5"/>
  <c r="J34" i="5"/>
  <c r="K34" i="5"/>
  <c r="J46" i="5"/>
  <c r="K46" i="5"/>
  <c r="K55" i="5"/>
  <c r="J55" i="5"/>
  <c r="K24" i="5"/>
  <c r="J24" i="5"/>
  <c r="J19" i="5"/>
  <c r="K19" i="5"/>
  <c r="J49" i="5"/>
  <c r="K49" i="5"/>
  <c r="J10" i="5"/>
  <c r="K10" i="5"/>
  <c r="K39" i="5"/>
  <c r="J39" i="5"/>
  <c r="K4" i="5"/>
  <c r="J4" i="5"/>
  <c r="K12" i="5"/>
  <c r="J12" i="5"/>
  <c r="J59" i="5"/>
  <c r="K59" i="5"/>
  <c r="K54" i="5"/>
  <c r="J54" i="5"/>
  <c r="K26" i="5"/>
  <c r="J26" i="5"/>
  <c r="J11" i="5"/>
  <c r="K11" i="5"/>
  <c r="K32" i="5"/>
  <c r="J32" i="5"/>
  <c r="J35" i="5"/>
  <c r="K35" i="5"/>
  <c r="K57" i="5"/>
  <c r="J57" i="5"/>
  <c r="K29" i="5"/>
  <c r="J29" i="5"/>
  <c r="K3" i="5"/>
  <c r="J3" i="5"/>
  <c r="K8" i="5"/>
  <c r="J8" i="5"/>
  <c r="K45" i="5"/>
  <c r="J45" i="5"/>
  <c r="K28" i="5"/>
  <c r="J28" i="5"/>
  <c r="K7" i="5"/>
  <c r="J7" i="5"/>
  <c r="J27" i="5"/>
  <c r="K27" i="5"/>
  <c r="K40" i="5"/>
  <c r="J40" i="5"/>
  <c r="K25" i="5"/>
  <c r="J25" i="5"/>
  <c r="J33" i="5"/>
  <c r="K33" i="5"/>
  <c r="J42" i="5"/>
  <c r="K42" i="5"/>
  <c r="K20" i="5"/>
  <c r="J20" i="5"/>
  <c r="K36" i="5"/>
  <c r="J36" i="5"/>
  <c r="K13" i="5"/>
  <c r="J13" i="5"/>
  <c r="J51" i="5"/>
  <c r="K51" i="5"/>
  <c r="K15" i="5"/>
  <c r="J15" i="5"/>
  <c r="J43" i="5"/>
  <c r="K43" i="5"/>
  <c r="K48" i="5"/>
  <c r="J48" i="5"/>
  <c r="K18" i="5"/>
  <c r="J18" i="5"/>
  <c r="K9" i="5"/>
  <c r="J9" i="5"/>
  <c r="K52" i="5"/>
  <c r="J52" i="5"/>
  <c r="K31" i="5"/>
  <c r="J31" i="5"/>
  <c r="K44" i="5"/>
  <c r="J44" i="5"/>
  <c r="K21" i="5"/>
  <c r="J21" i="5"/>
  <c r="K14" i="5"/>
  <c r="J14" i="5"/>
  <c r="K23" i="5"/>
  <c r="J23" i="5"/>
  <c r="K56" i="5"/>
  <c r="J56" i="5"/>
  <c r="J50" i="5"/>
  <c r="K50" i="5"/>
  <c r="J17" i="5"/>
  <c r="K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</author>
  </authors>
  <commentList>
    <comment ref="I2" authorId="0" shapeId="0" xr:uid="{8BE08F7D-56B6-412A-9462-A1CE21D2E62F}">
      <text>
        <r>
          <rPr>
            <b/>
            <sz val="9"/>
            <color indexed="81"/>
            <rFont val="Tahoma"/>
            <family val="2"/>
          </rPr>
          <t>27 May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0" shapeId="0" xr:uid="{7801067F-900F-467C-B42D-40D091C37C9E}">
      <text>
        <r>
          <rPr>
            <b/>
            <sz val="9"/>
            <color indexed="81"/>
            <rFont val="Tahoma"/>
            <family val="2"/>
          </rPr>
          <t>27 May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3089B5A4-D118-4542-B834-CAB1F8083DDE}">
      <text>
        <r>
          <rPr>
            <b/>
            <sz val="9"/>
            <color indexed="81"/>
            <rFont val="Tahoma"/>
            <family val="2"/>
          </rPr>
          <t>10 June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 xr:uid="{D5073F38-16F6-466D-8A7A-E07DFCBF20FB}">
      <text>
        <r>
          <rPr>
            <b/>
            <sz val="9"/>
            <color indexed="81"/>
            <rFont val="Tahoma"/>
            <family val="2"/>
          </rPr>
          <t>25 June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" authorId="0" shapeId="0" xr:uid="{5B624DB1-0CF4-4509-AEC0-1C526464B209}">
      <text>
        <r>
          <rPr>
            <sz val="9"/>
            <color indexed="81"/>
            <rFont val="Tahoma"/>
            <family val="2"/>
          </rPr>
          <t xml:space="preserve">13 July
</t>
        </r>
      </text>
    </comment>
  </commentList>
</comments>
</file>

<file path=xl/sharedStrings.xml><?xml version="1.0" encoding="utf-8"?>
<sst xmlns="http://schemas.openxmlformats.org/spreadsheetml/2006/main" count="683" uniqueCount="495">
  <si>
    <t>4207718-0-9</t>
  </si>
  <si>
    <t>7151884-CKD-9</t>
  </si>
  <si>
    <t>MANUAL - FRONT RIGHT SEAT BACKREST FRAME</t>
  </si>
  <si>
    <t>شاسية ضهر أمامي يمين</t>
  </si>
  <si>
    <t>4812333-0-9</t>
  </si>
  <si>
    <t>7151881-CKD-9</t>
  </si>
  <si>
    <t>POWER - FRONT SEAT LEFT / RIGHT BACKREST FRAME - NON MEMO</t>
  </si>
  <si>
    <t>شاسية ضهر أمامي شمال لوكس</t>
  </si>
  <si>
    <t>4207618-0-9</t>
  </si>
  <si>
    <t>7151877-CKD-9</t>
  </si>
  <si>
    <t>MANUAL - FRONT LEFT SEAT BACKREST FRAME</t>
  </si>
  <si>
    <t>شاسية ظهر أمامي شمال عاده</t>
  </si>
  <si>
    <t>4355899-0-9</t>
  </si>
  <si>
    <t>7151887-CKD-9</t>
  </si>
  <si>
    <t>6WAY MANUAL - FRONT LHD PASSANGER SEAT CUSHION FRAME 
6WAY MANUAL - FRONT RHD DRIVER SEAT CUSHION FRAME</t>
  </si>
  <si>
    <t>مجري قاعدة أمامي يمين</t>
  </si>
  <si>
    <t>4812346-0-9</t>
  </si>
  <si>
    <t>7151934-CKD-8</t>
  </si>
  <si>
    <t>6WAY HYBRID - FRONT LHD DRIVER SEAT CUSHION FRAME</t>
  </si>
  <si>
    <t>مجري قاعدة أمامي شمال لوكس</t>
  </si>
  <si>
    <t>4207871-0-9</t>
  </si>
  <si>
    <t>7151936-CKD-9</t>
  </si>
  <si>
    <t>6WAY MANUAL - FRONT LHD DRIVER SEAT CUSHION FRAME
6WAY MANUAL - FRONT RHD PASSENGER SEAT CUSHION FRAME</t>
  </si>
  <si>
    <t>مجري قاعدة أمامي شمال عادة</t>
  </si>
  <si>
    <t>4171294-0-8</t>
  </si>
  <si>
    <t>7151937-CKD-8</t>
  </si>
  <si>
    <t>REAR SEAT BACKREST FRAME 40%</t>
  </si>
  <si>
    <t>شاسية ضهر40%</t>
  </si>
  <si>
    <t>4171342-0-8</t>
  </si>
  <si>
    <t>7151939-CKD-8</t>
  </si>
  <si>
    <t>REAR SEAT BACKREST FRAME 60% W/ ARMREST</t>
  </si>
  <si>
    <t>شاسية ضهر60% لوكس</t>
  </si>
  <si>
    <t>4171338-0-8</t>
  </si>
  <si>
    <t>7151940-CKD-8</t>
  </si>
  <si>
    <t>REAR SEAT BACKREST FRAME 60% W/O ARMREST</t>
  </si>
  <si>
    <t>شاسية ضهر 60% عادة</t>
  </si>
  <si>
    <t>4171343-0-8</t>
  </si>
  <si>
    <t>LATCH RH 40%</t>
  </si>
  <si>
    <t>لوك حزام 40%</t>
  </si>
  <si>
    <t>4171348-0-8</t>
  </si>
  <si>
    <t>LATCH LH 60%</t>
  </si>
  <si>
    <t>لوك حزام 60%</t>
  </si>
  <si>
    <t>4171684-0-9</t>
  </si>
  <si>
    <t>GUIDE APPUI-TETE SIEGE AV G (LISSE)
FRONT - NON LOCKING BEZEL</t>
  </si>
  <si>
    <t>فيشر بدون سوستة لوكس</t>
  </si>
  <si>
    <t>4171687-0-9</t>
  </si>
  <si>
    <t>FRONT - LOCKING BEZEL</t>
  </si>
  <si>
    <t>فيشر سوستة لوكس</t>
  </si>
  <si>
    <t>4171695-0-9</t>
  </si>
  <si>
    <t>TRACK END CAP</t>
  </si>
  <si>
    <t>كفر مجري لوكس</t>
  </si>
  <si>
    <t>4171702-0-9</t>
  </si>
  <si>
    <t>LH - SIDE COVER  - 6WAY MANUAL</t>
  </si>
  <si>
    <t>كفر كبير مجري شمال عاده</t>
  </si>
  <si>
    <t>4171705-0-9</t>
  </si>
  <si>
    <t>RH - SIDE COVER  - 6WAY MANUAL</t>
  </si>
  <si>
    <t>كفر كبير مجري يمين عاده</t>
  </si>
  <si>
    <t>4171756-0-9</t>
  </si>
  <si>
    <t>RECLINER INNER COVER - LH</t>
  </si>
  <si>
    <t>كفر حزام أمامي شمال</t>
  </si>
  <si>
    <t>4171759-0-9</t>
  </si>
  <si>
    <t>RECLINER INNER COVER - RH</t>
  </si>
  <si>
    <t>كفر حزام أمامي يمين</t>
  </si>
  <si>
    <t>4171763-0-9</t>
  </si>
  <si>
    <t>RECLINER HANDWHEEL - HARD</t>
  </si>
  <si>
    <t>بكرة تحريك عادة</t>
  </si>
  <si>
    <t>5222357-0-9</t>
  </si>
  <si>
    <t>RECLINER HANDWHEEL - SOFT</t>
  </si>
  <si>
    <t>بكرة تحريك كرسي ضهر يمين لوكس</t>
  </si>
  <si>
    <t>4171767-0-9</t>
  </si>
  <si>
    <t>RECLINER HANDWHEEL CAP</t>
  </si>
  <si>
    <t>طبة بكرة تحريك كرسي ضهر يمين لوكس</t>
  </si>
  <si>
    <t>6201578-0-9</t>
  </si>
  <si>
    <t>MECHANICAL LUMBAR HANDWHEEL LH &amp; RH
CDPO OPTIMIZED RADIUS</t>
  </si>
  <si>
    <t>بكرة لمبر عادة</t>
  </si>
  <si>
    <t>6201620-0-9</t>
  </si>
  <si>
    <t>MECHANICAL LUMBAR HANDWHEEL CAP LH &amp; RH
CDPO OPTIMIZED RADIUS</t>
  </si>
  <si>
    <t>طبة بكرة لمبر عادة</t>
  </si>
  <si>
    <t>5872481-0-9</t>
  </si>
  <si>
    <t>LH HEIGHT ADJUSTER MECHANISM  LEVER
2,8°</t>
  </si>
  <si>
    <t>براكيت يد تحريك كرسي شمال عادة</t>
  </si>
  <si>
    <t>5872489-0-9</t>
  </si>
  <si>
    <t>RH HEIGHT ADJUSTER MECHANISM  LEVER
2,8°</t>
  </si>
  <si>
    <t>براكيت يد تحريك كرسي أمامي يمين</t>
  </si>
  <si>
    <t>4171865-0-9</t>
  </si>
  <si>
    <t>LH HEIGHT ADJUSTER  LEVER</t>
  </si>
  <si>
    <t xml:space="preserve">يد تحريك كرسي أمامي شمال </t>
  </si>
  <si>
    <t>4171869-0-9</t>
  </si>
  <si>
    <t>RH HEIGHT ADJUSTER  LEVER</t>
  </si>
  <si>
    <t>يد تحريك كرسي أمامي يمين</t>
  </si>
  <si>
    <t>4171380-0-8</t>
  </si>
  <si>
    <t>LATCH COVER LH / RH</t>
  </si>
  <si>
    <t>كفر لوك خلفي لوكس</t>
  </si>
  <si>
    <t>4171385-0-8</t>
  </si>
  <si>
    <t>BELT EXIT COVER</t>
  </si>
  <si>
    <t>كفر حزام خلفي</t>
  </si>
  <si>
    <t>4171388-0-8</t>
  </si>
  <si>
    <t>LATERAL OUTER PIVOT BRACKET COVER LH</t>
  </si>
  <si>
    <t>كفر مفصلة خلفي شمال</t>
  </si>
  <si>
    <t>4171389-0-8</t>
  </si>
  <si>
    <t>LATERAL OUTER PIVOT BRACKET COVER RH</t>
  </si>
  <si>
    <t>كفر مفصلة خلفي يمين</t>
  </si>
  <si>
    <t>4171741-0-9</t>
  </si>
  <si>
    <t>LH - SIDE COVER - 4WP+2WM LEFT POWER + LUMBAR</t>
  </si>
  <si>
    <t>كفر أمامي شمال كبيرلوكس</t>
  </si>
  <si>
    <t>4171746-0-9</t>
  </si>
  <si>
    <t>RH - SIDE COVER  - 6WAY MANUAL W/ POWER + LUMBAR HYBRID</t>
  </si>
  <si>
    <t>5324015-0-8</t>
  </si>
  <si>
    <t>ARMREST END STOP BRACKET LH</t>
  </si>
  <si>
    <t>كفر مسند يد شمال لوكس</t>
  </si>
  <si>
    <t>5324123-0-8</t>
  </si>
  <si>
    <t>ARMREST END STOP BRACKET RH</t>
  </si>
  <si>
    <t>كفر مسند يد يمين لوكس</t>
  </si>
  <si>
    <t>4795975-0-8</t>
  </si>
  <si>
    <t>SKILID FRT COVER ASM</t>
  </si>
  <si>
    <t>شباك مسند يد خلفي لوكس</t>
  </si>
  <si>
    <t>4170935-0-8</t>
  </si>
  <si>
    <t>SKILID REAR COVER</t>
  </si>
  <si>
    <t>` كفر مسند يد خلفي لوكس</t>
  </si>
  <si>
    <t>4232969-0-8</t>
  </si>
  <si>
    <t>SKILID SUPPORT PLATE</t>
  </si>
  <si>
    <t>جراب مسند يد خلفي لوكس</t>
  </si>
  <si>
    <t>6157189-E3P-9</t>
  </si>
  <si>
    <t>FRONT SEAT HEADREST LH &amp; RH - ML L3opt
MANHATTEN HORIZON 10C</t>
  </si>
  <si>
    <t>هدرست امامي لوكس</t>
  </si>
  <si>
    <t>6156700-E3P-8</t>
  </si>
  <si>
    <t>HEADREST CENTER - ML L3opt
MANHATTEN HORIZON 10C</t>
  </si>
  <si>
    <t>هدرست خلفي وسط لوكس</t>
  </si>
  <si>
    <t>6156711-E3P-8</t>
  </si>
  <si>
    <t>HEADREST OUTER LH / RH - ML L3opt
MANHATTEN HORIZON 10C</t>
  </si>
  <si>
    <t>هدرست خلفي 40% و 60% لوكس</t>
  </si>
  <si>
    <t>6124684-E3P-8</t>
  </si>
  <si>
    <t>REAR SEAT ARMREST - ML L3 option</t>
  </si>
  <si>
    <t>مسند يد كنبة  لوكس</t>
  </si>
  <si>
    <t>6157178-EL2-9</t>
  </si>
  <si>
    <t>FRONT SEAT HEADREST LH &amp; RH - ML L2
VINYL BLACK MISTRAL 10m Griffine</t>
  </si>
  <si>
    <t>هدرست امامي عادة</t>
  </si>
  <si>
    <t>6156698-EL2-8</t>
  </si>
  <si>
    <t>HEADREST CENTER - ML L2
VINYL BLACK MISTRAL</t>
  </si>
  <si>
    <t>هدرست خلفي وسط عادة</t>
  </si>
  <si>
    <t>6156709-EL2-8</t>
  </si>
  <si>
    <t>HEADREST OUTER LH / RH - ML L2
VINYL BLACK MISTRAL</t>
  </si>
  <si>
    <t>هدرست خلفي 40% و 60% عادة</t>
  </si>
  <si>
    <t>4178137-0-9</t>
  </si>
  <si>
    <t xml:space="preserve">HARNESS - LHD PASSANGER - 6WAY MANUAL - 
SAB+SBR+HEATER+LUMBAR </t>
  </si>
  <si>
    <t>ضفيرة أمامي يمين لوكس</t>
  </si>
  <si>
    <t>4792350-0-9</t>
  </si>
  <si>
    <t xml:space="preserve">HARNESS - LHD DRIVER - 4WAY POWER - 
SAB+SPS+HEATER+LUMBAR - Hybrid </t>
  </si>
  <si>
    <t>ضفيرة أمامي شمال لوكس</t>
  </si>
  <si>
    <t>4791403-0-9</t>
  </si>
  <si>
    <t xml:space="preserve">HARNESS - LHD DRIVER - 6WAY MANUAL - SAB+SPS </t>
  </si>
  <si>
    <t>ضفيرة كرسي شمال عادة</t>
  </si>
  <si>
    <t>4178009-0-9</t>
  </si>
  <si>
    <t xml:space="preserve">HARNESS - LHD PASSANGER - 4WAY/6WAY MANUAL - SAB+SBR </t>
  </si>
  <si>
    <t>ضفيرة كرسي يمين عادة</t>
  </si>
  <si>
    <t>4177783-0-9</t>
  </si>
  <si>
    <t xml:space="preserve">HEATING MAT CUSHION </t>
  </si>
  <si>
    <t>سخان قاعدة لوكس</t>
  </si>
  <si>
    <t>6160573-0-9</t>
  </si>
  <si>
    <t>HEATING MAT BACKREST ML</t>
  </si>
  <si>
    <t>سخان ضهر لوكس</t>
  </si>
  <si>
    <t>4171615-0-9</t>
  </si>
  <si>
    <t>CUSHION SUSPENSION MAT W/ HA SEAT (6W)</t>
  </si>
  <si>
    <t>شبكة قاعدة أمامي لوكس</t>
  </si>
  <si>
    <t>4171641-0-9</t>
  </si>
  <si>
    <t>BACKREST SUSPENSION MAT - POWER LUMBAR + MASSAGE LH/RH</t>
  </si>
  <si>
    <t>شبكة لمبر لوكس</t>
  </si>
  <si>
    <t>4171626-0-9</t>
  </si>
  <si>
    <t>BACKREST SUSPENSION MAT BASIS LH/RH</t>
  </si>
  <si>
    <t>شبكة لمبر أمامي يمين عادة</t>
  </si>
  <si>
    <t>4171638-0-9</t>
  </si>
  <si>
    <t>BACKREST SUSPENSION MAT - MECHANICAL LUMBAR LHD DRIVER</t>
  </si>
  <si>
    <t>شبكة لمبر أمامي شمال عادة</t>
  </si>
  <si>
    <t>3283761-0-1</t>
  </si>
  <si>
    <t>POWER CONTROL UNIT FOR HEATING MAT-LH</t>
  </si>
  <si>
    <t>جاك سخان لوكس</t>
  </si>
  <si>
    <t>4647465-0-9</t>
  </si>
  <si>
    <t>LH - 6W HYBRID ADJUSTMENT SWITCH UNIT</t>
  </si>
  <si>
    <t>مفتاح كرسي شمال لوكس</t>
  </si>
  <si>
    <t>4172544-0-9</t>
  </si>
  <si>
    <t xml:space="preserve">LH - CONNECTOR SUPPORT BRACKET
</t>
  </si>
  <si>
    <t>براكت حديد كرسي شمال</t>
  </si>
  <si>
    <t>4172547-0-9</t>
  </si>
  <si>
    <t xml:space="preserve">RH - CONNECTOR SUPPORT BRACKET
</t>
  </si>
  <si>
    <t>براكت حديد كرسي يمين</t>
  </si>
  <si>
    <t>4172550-0-9</t>
  </si>
  <si>
    <t>SWITCH POWER LUMBAR FOR HYBRID FS LH</t>
  </si>
  <si>
    <t>مفتاح لمبر كرسي شمال لوكس</t>
  </si>
  <si>
    <t>4172559-0-9</t>
  </si>
  <si>
    <t>SWITCH POWER LUMBAR FOR HYBRID FS RH</t>
  </si>
  <si>
    <t>مفتاح لمبر كرسي يمين لوكس</t>
  </si>
  <si>
    <t>4172560-0-9</t>
  </si>
  <si>
    <t>SBR SENSOR</t>
  </si>
  <si>
    <t>حساس قاعدة</t>
  </si>
  <si>
    <t>4172576-0-9</t>
  </si>
  <si>
    <t>VIS FIXATION ARMATURE
MARRIAGE SCREW  - M 10 x 1 x 14; T 40</t>
  </si>
  <si>
    <t xml:space="preserve">مسمار تجميع </t>
  </si>
  <si>
    <t>4172579-0-9</t>
  </si>
  <si>
    <t>VIS COMMANDE REHAUSSE
SCREW HEIGHT ADJUSTER MECHANISM  LEVER - M  8 x 1,25 x 8; T 30</t>
  </si>
  <si>
    <t>مسمار تجميع كرسي أمامي</t>
  </si>
  <si>
    <t>4172587-0-9</t>
  </si>
  <si>
    <t>FIXATION BRIN BOUCLE CEINTURE SECURITE
SCREW FOR BELT BUCKLE - M 10 x 1,5 x 15,3; T 50</t>
  </si>
  <si>
    <t>مسمار حزام أمامي</t>
  </si>
  <si>
    <t>4349142-0-9</t>
  </si>
  <si>
    <t>RONDELLE ONDULÉ
WASHER FOR BELT BUCKLE</t>
  </si>
  <si>
    <t>وردة حزام أمامي</t>
  </si>
  <si>
    <t>119661-0-7</t>
  </si>
  <si>
    <t>FIXATION SAC GONFLABLE LAT DOSSIER SIEGE AV CONDUCTEUR
NUT SAB Fixation- M 6 x 1,0 x 9,1</t>
  </si>
  <si>
    <t>صامولة إيرباج</t>
  </si>
  <si>
    <t>5126181-0-9</t>
  </si>
  <si>
    <t>FIXATION SUPPORT CONNECTEUR 20 VOIES
RIVET CONNECTOR SUPPORT BRACKET - STEEL / STEEL Ø 6,4 MM</t>
  </si>
  <si>
    <t>برشامة كبيرة</t>
  </si>
  <si>
    <t>2308913-0-1</t>
  </si>
  <si>
    <t>FIXATIONS COIFFE
HOG RING</t>
  </si>
  <si>
    <t>دبل</t>
  </si>
  <si>
    <t>1722229-0-8</t>
  </si>
  <si>
    <t>VIS FIXATION ACCOUDOIR
SCREW - ARMREST</t>
  </si>
  <si>
    <t>مسمار مسند يد لوكس</t>
  </si>
  <si>
    <t>2149922-0-8</t>
  </si>
  <si>
    <t>NUT - CENTER BELT RETRACTOR</t>
  </si>
  <si>
    <t>صامولة مسمار حزام خلفي</t>
  </si>
  <si>
    <t>4171443-0-8</t>
  </si>
  <si>
    <t>SCREW &amp; WASHER - OUTBOARD LATCH LH / RH</t>
  </si>
  <si>
    <t>مسمار لوك ضهر خلفي</t>
  </si>
  <si>
    <t>3922963-0-0</t>
  </si>
  <si>
    <t>SCREW - LATERAL BRACKET COVER 
(1x LH / 1x RH), SCREW - CENTER BELT EXIT COVER     (2x)</t>
  </si>
  <si>
    <t>مسمار كفر</t>
  </si>
  <si>
    <t>5267567-0-8</t>
  </si>
  <si>
    <t xml:space="preserve">Rivet - Blind </t>
  </si>
  <si>
    <t>برشامة صغيرة لوكس</t>
  </si>
  <si>
    <t>2019861-0-9</t>
  </si>
  <si>
    <t>SCREW FOR MECHANICAL LUMBAR HANDWHEEL - M x xx x xx x xx; T xx</t>
  </si>
  <si>
    <t>مسمار بكرة لمبر</t>
  </si>
  <si>
    <t>2019773-0-0</t>
  </si>
  <si>
    <t>VIS FIXATION COMMANDE LOMBAIRE MECA
SCREW  MECHANICAL LUMBAR MECHANISM - M x xx x xx x xx; T xx</t>
  </si>
  <si>
    <t>مسمار لمبر</t>
  </si>
  <si>
    <t>279198-0-0</t>
  </si>
  <si>
    <t>HOUSSE PROTECTION SIEGE
SEAT DELIVERY BAG</t>
  </si>
  <si>
    <t>أكياس تغليف لوكس</t>
  </si>
  <si>
    <t>4170469-0-8</t>
  </si>
  <si>
    <t>HOUSSE DE PROTECTION DOSSIER 1/3
DELIVERY BAG BACKREST 40%</t>
  </si>
  <si>
    <t>أكياس تغليف</t>
  </si>
  <si>
    <t>4170473-0-8</t>
  </si>
  <si>
    <t>HOUSSE DE PROTECTION DOSSIER 2/3
DELIVERY BAG BACKREST 60%</t>
  </si>
  <si>
    <t>4171277-0-8</t>
  </si>
  <si>
    <t>HOUSSE DE PROTECTION COUSSIN
DELIVERY BAG CUSHION 100%</t>
  </si>
  <si>
    <t>4171956-0-9</t>
  </si>
  <si>
    <t>BELT BUCKLE LH  &amp; RH</t>
  </si>
  <si>
    <t xml:space="preserve">حزام أمامي </t>
  </si>
  <si>
    <t>5882266-0-9</t>
  </si>
  <si>
    <t xml:space="preserve">إيرباج يمين </t>
  </si>
  <si>
    <t>5882270-0-9</t>
  </si>
  <si>
    <t>SIDE AIRBAG RH</t>
  </si>
  <si>
    <t>إيرباج شمال</t>
  </si>
  <si>
    <t>5502149-0-8</t>
  </si>
  <si>
    <t>BRIN ENROULEUR C-S 3 POINT CENT
RETRACTOR CENTER SEAT
C43-O</t>
  </si>
  <si>
    <t>حزام خلفي</t>
  </si>
  <si>
    <t>2847667-H1</t>
  </si>
  <si>
    <t>TRIM CLIP</t>
  </si>
  <si>
    <t>كلبسة فوم</t>
  </si>
  <si>
    <t>3465875-C4</t>
  </si>
  <si>
    <t>HOKK.YKK Z15-3 X 100MM</t>
  </si>
  <si>
    <t>شريط كوتشي</t>
  </si>
  <si>
    <t>CUSHION EPP_INSERT FOR CENTER SEAT PSA</t>
  </si>
  <si>
    <t>قطعة فل مستوردة لفوم لقاعدة خلفي 100%</t>
  </si>
  <si>
    <t>ADIENT PN</t>
  </si>
  <si>
    <t>DESCRIPTION</t>
  </si>
  <si>
    <t>Arabic Description</t>
  </si>
  <si>
    <t>7151934-CKD-9</t>
  </si>
  <si>
    <t>REF ADIENT</t>
  </si>
  <si>
    <t>QTY</t>
  </si>
  <si>
    <t xml:space="preserve">6WAY MANUAL - FRONT RH SEAT CUSHION FRAME </t>
  </si>
  <si>
    <t xml:space="preserve">6WAY MANUAL - FRONT LH SEAT CUSHION FRAME </t>
  </si>
  <si>
    <t xml:space="preserve">BELT BUCKLE LH </t>
  </si>
  <si>
    <t>Row Labels</t>
  </si>
  <si>
    <t>Grand Total</t>
  </si>
  <si>
    <t>Sum of QTY</t>
  </si>
  <si>
    <t>SIDE AIRBAG LH</t>
  </si>
  <si>
    <t>Total</t>
  </si>
  <si>
    <t>Adient Seating Spain</t>
  </si>
  <si>
    <t>6095076-SIHYC-9</t>
  </si>
  <si>
    <t>6095077-SIHYC-9</t>
  </si>
  <si>
    <t>6095105-ZEHPT-9</t>
  </si>
  <si>
    <t>6095106-ZEHPT-9</t>
  </si>
  <si>
    <t>6095078-SIHYC-9</t>
  </si>
  <si>
    <t>6095079-SIHYC-9</t>
  </si>
  <si>
    <t>6095082-SIHYC-8</t>
  </si>
  <si>
    <t>6095083-SIHYC-8</t>
  </si>
  <si>
    <t>6095084-SIHYC-8</t>
  </si>
  <si>
    <t>6095107-ZEHPT-9</t>
  </si>
  <si>
    <t>6095108-ZEHPT-9</t>
  </si>
  <si>
    <t>6095111-ZEHPT-8</t>
  </si>
  <si>
    <t>6095112-ZEHPT-8</t>
  </si>
  <si>
    <t>6095113-ZEHPT-8</t>
  </si>
  <si>
    <t>5086956-N_OQ</t>
  </si>
  <si>
    <t>5086962-N_OQ</t>
  </si>
  <si>
    <t>333305-165020_OQ</t>
  </si>
  <si>
    <t>109348-5G_OQ</t>
  </si>
  <si>
    <t>109348-O4_OQ</t>
  </si>
  <si>
    <t>3017991-N_OQ</t>
  </si>
  <si>
    <t>109348-1M_OQ</t>
  </si>
  <si>
    <t>5016160-N_OQ</t>
  </si>
  <si>
    <t>3058588-N_OQ</t>
  </si>
  <si>
    <t>5348500-20_OQ</t>
  </si>
  <si>
    <t>1357645-1620N_OQ</t>
  </si>
  <si>
    <t>1810953-N_OQ</t>
  </si>
  <si>
    <t>1821911-N_OQ</t>
  </si>
  <si>
    <t>2159161-N_OQ</t>
  </si>
  <si>
    <t>2159174-N_OQ</t>
  </si>
  <si>
    <t>2161353-N_OQ</t>
  </si>
  <si>
    <t>2161359-N_OQ</t>
  </si>
  <si>
    <t>2618935-N_OQ</t>
  </si>
  <si>
    <t>3341085-N_OQ</t>
  </si>
  <si>
    <t>4471385-N_OQ</t>
  </si>
  <si>
    <t>4471471-N_OQ</t>
  </si>
  <si>
    <t>5631571-N_OQ</t>
  </si>
  <si>
    <t>2108342-N_OQ</t>
  </si>
  <si>
    <t>5631576-N_OQ</t>
  </si>
  <si>
    <t>2172435-N_OQ</t>
  </si>
  <si>
    <t>345118-N_OQ</t>
  </si>
  <si>
    <t>4471381-N_OQ</t>
  </si>
  <si>
    <t>4471424-N_OQ</t>
  </si>
  <si>
    <t>4471427-N_OQ</t>
  </si>
  <si>
    <t>5174723-N_OQ</t>
  </si>
  <si>
    <t>5174726-N_OQ</t>
  </si>
  <si>
    <t>4471615-N_OQ</t>
  </si>
  <si>
    <t>1259544-200020_OQ</t>
  </si>
  <si>
    <t>4878889-175020_OQC</t>
  </si>
  <si>
    <t>1504681-N_OQ4</t>
  </si>
  <si>
    <t>1504680-N_OQ4</t>
  </si>
  <si>
    <t>1699368-N_OQ</t>
  </si>
  <si>
    <t>6036614-20_OQ</t>
  </si>
  <si>
    <t>3001173-M2_OQ</t>
  </si>
  <si>
    <t>3001176-55_OQ</t>
  </si>
  <si>
    <t>2258512-N_OQ</t>
  </si>
  <si>
    <t>3116561-RA_OQ</t>
  </si>
  <si>
    <t>109348-55_OQ</t>
  </si>
  <si>
    <t>Adient Kinetra</t>
  </si>
  <si>
    <t>4878892-190009_OQ</t>
  </si>
  <si>
    <t>BRASILIA F2-D28 CKS-G30 HZD MISTRAL</t>
  </si>
  <si>
    <t>6608275-1900C29_OQ</t>
  </si>
  <si>
    <t>CURITIBA G345 W/2MM LAM FOAM 40KG/M3 AND CKS 30G/M2</t>
  </si>
  <si>
    <t>6608276-177012_OQ</t>
  </si>
  <si>
    <t>ORNIS W/2MM LAM FOAM 40KG/M3 AND WKS 60G/M2</t>
  </si>
  <si>
    <t>4881344-142004_OQ</t>
  </si>
  <si>
    <t>ALCANTARA F2-D28 CKS-G30 ZEPHIR</t>
  </si>
  <si>
    <t>قماش برازيلية</t>
  </si>
  <si>
    <t>قماش قرطبة</t>
  </si>
  <si>
    <t>قماش اورنيس</t>
  </si>
  <si>
    <t>قماش قنطرة</t>
  </si>
  <si>
    <t>6322871-1800B01_OQ</t>
  </si>
  <si>
    <t>HELLO F2-D28 WKS-G65 SIROCCO (TWO TONE)</t>
  </si>
  <si>
    <t>2515912-1900B74_OQ</t>
  </si>
  <si>
    <t>RIMINI 2mm LF020-28 S030 BLEU ALIZEE (c/o C4X Limited Edition)</t>
  </si>
  <si>
    <t>قماش هاللو</t>
  </si>
  <si>
    <t>قماش ريميني</t>
  </si>
  <si>
    <t>PN</t>
  </si>
  <si>
    <t>Sage Italy</t>
  </si>
  <si>
    <t>Sage Kintra</t>
  </si>
  <si>
    <t>4878914-1500App_OQ</t>
  </si>
  <si>
    <t>4878914-1500B0_OQ</t>
  </si>
  <si>
    <t>4881396-1680N_OQ</t>
  </si>
  <si>
    <t>5013314-1600N_OQ</t>
  </si>
  <si>
    <t>VNL-TEP ISABELLA V249 HYC NIXON unlaminated</t>
  </si>
  <si>
    <t>إزابيلا نيكسون قماش سيتروينC41رمادي غامق</t>
  </si>
  <si>
    <t>VNL-TEP ISABELLA V249 HPT GUERANDE unlaminated</t>
  </si>
  <si>
    <t>إزابيلا جيراندي قماش ستروينC43رمادي ساده</t>
  </si>
  <si>
    <t xml:space="preserve">FOAM15-D43 WKS-G48 </t>
  </si>
  <si>
    <t>سفنج 15MM إكسسوار قماش سيتروين C41&amp;C42</t>
  </si>
  <si>
    <t xml:space="preserve">FOAM6-D65 NW PES-G38 </t>
  </si>
  <si>
    <t xml:space="preserve">سفنج 5MM إكسسوار قماش سيتروين C41&amp;C43 </t>
  </si>
  <si>
    <t>L2</t>
  </si>
  <si>
    <t>L3</t>
  </si>
  <si>
    <t>Tesca Spain</t>
  </si>
  <si>
    <t>Tesca Morocco</t>
  </si>
  <si>
    <t>Consumption</t>
  </si>
  <si>
    <t>Description</t>
  </si>
  <si>
    <t>English</t>
  </si>
  <si>
    <t>Arabic</t>
  </si>
  <si>
    <t>Out Stock</t>
  </si>
  <si>
    <t>96 kit L3</t>
  </si>
  <si>
    <t>trim</t>
  </si>
  <si>
    <t>96 Kits L3</t>
  </si>
  <si>
    <t xml:space="preserve">48 Kits L3 </t>
  </si>
  <si>
    <t>48 Kits L2</t>
  </si>
  <si>
    <t>96 Kits L2</t>
  </si>
  <si>
    <t>كفر أمامي يمين لوكس</t>
  </si>
  <si>
    <t>pricing</t>
  </si>
  <si>
    <t>item</t>
  </si>
  <si>
    <t>MDL L2 - TRIM FB AB WITH MP RH 15MM
ML L2</t>
  </si>
  <si>
    <t>كسوة ضهر أمامي عادة شمال</t>
  </si>
  <si>
    <t>MDL L2 - TRIM FB AB WITH MP LH 15MM
ML L2</t>
  </si>
  <si>
    <t>كسوة ضهر أمامي عادة يمين</t>
  </si>
  <si>
    <t>MDL L3 OPT - TRIM FB AB WITH MP RH 15MM
ML L3opt</t>
  </si>
  <si>
    <t>كسوة ضهر امامي يمين لوكس</t>
  </si>
  <si>
    <t>MDL L3 OPT - TRIM FB AB WITH MP LH 15MM
ML L3opt</t>
  </si>
  <si>
    <t>كسوة ضهر امامي شمال لوكس</t>
  </si>
  <si>
    <t>MDL L2 - TRIM FC 6 WAY RH 15MMML L2</t>
  </si>
  <si>
    <t>كسوة  قاعدة امامي يمين عاده</t>
  </si>
  <si>
    <t>MDL L2 - TRIM FC 6 WAY LH 15MMML L2</t>
  </si>
  <si>
    <t>كسوة  قاعدة امامي شمال عاده</t>
  </si>
  <si>
    <t>MDL L2 - REAR SEAT CUSHION TRIM COVER MID LIVE</t>
  </si>
  <si>
    <t>كسوة قاعدة خلفي عاده</t>
  </si>
  <si>
    <t>MDL L2 - REAR SEAT BACK 40% TRIM COVER WO TT WO SLIT MID LI</t>
  </si>
  <si>
    <t>كسوة قاعدة خلفي 40 % عاده</t>
  </si>
  <si>
    <t>MDL L2 - REAR SEAT BACK 60% - W/O ARMREST - TRIM COVER WO T</t>
  </si>
  <si>
    <t>كسوة قاعدة خلفي 60 % عاده</t>
  </si>
  <si>
    <t>MDL L3 OPT - TRIM FC 6 WAY RH 15MMML L3opt</t>
  </si>
  <si>
    <t>كسوة قاعدة امامي يمين لوكس</t>
  </si>
  <si>
    <t>MDL L3 OPT - TRIM FC 6 WAY LH 15MMML L3opt</t>
  </si>
  <si>
    <t>كسوة قاعدة امامي شمال لوكس</t>
  </si>
  <si>
    <t>MDL L3 OPT - REAR SEAT CUSHION TRIM COVER MID LIVE</t>
  </si>
  <si>
    <t>كسوة قاعدة خلفي لوكس</t>
  </si>
  <si>
    <t>MDL L3 OPT - REAR SEAT BACK 40% TRIM COVER WO TT WO SLIT M</t>
  </si>
  <si>
    <t>كسوة قاعدة خلفي 40 % لوكس</t>
  </si>
  <si>
    <t>MDL L3 OPT - REAR SEAT BACK 60% - W/ ARMREST - TRIM COVER W</t>
  </si>
  <si>
    <t>كسوة قاعدة خلفي 60 % لوكس</t>
  </si>
  <si>
    <t>U-RTNR 25FLx30</t>
  </si>
  <si>
    <t>بروفيله 3 سم</t>
  </si>
  <si>
    <t>U-RTNR 25FLx80</t>
  </si>
  <si>
    <t>بروفيله بلباده 8 سم</t>
  </si>
  <si>
    <t>FLEECE FLEECE BLACK</t>
  </si>
  <si>
    <t>لباد اسود</t>
  </si>
  <si>
    <t>THD 30/3 107TEX LAMA</t>
  </si>
  <si>
    <t>خيط رمادي</t>
  </si>
  <si>
    <t>THD 30/3 107TEX _</t>
  </si>
  <si>
    <t>خيط اسود</t>
  </si>
  <si>
    <t>THD 60/3 55TEX</t>
  </si>
  <si>
    <t>خيط ابيض</t>
  </si>
  <si>
    <t>THD 30/3 107TEX</t>
  </si>
  <si>
    <t>خيط رمادي غامق</t>
  </si>
  <si>
    <t>EXTR LIST 5.2Bx20FLx</t>
  </si>
  <si>
    <t>قمرايا 33 سم</t>
  </si>
  <si>
    <t>TOP TETHER LBL 35x40</t>
  </si>
  <si>
    <t>922 ايزوفكس</t>
  </si>
  <si>
    <t>ZIP ASSY CONVT 32*70</t>
  </si>
  <si>
    <t>سوسته امامي 210</t>
  </si>
  <si>
    <t>WKF-PES-G100</t>
  </si>
  <si>
    <t>شاش ابيض</t>
  </si>
  <si>
    <t>ID LBL 30 RP _</t>
  </si>
  <si>
    <t>شريط ابيض</t>
  </si>
  <si>
    <t>J-RTNR D4535x200</t>
  </si>
  <si>
    <t>بروفيله 20 سم</t>
  </si>
  <si>
    <t>قمرايا 30.1 سم</t>
  </si>
  <si>
    <t>قمرايا 42 سم</t>
  </si>
  <si>
    <t>EXTR LIST 5.2B*25FL*</t>
  </si>
  <si>
    <t>قمرايا 25 سم</t>
  </si>
  <si>
    <t>EXTR LIST 5.2Bx25FLx</t>
  </si>
  <si>
    <t>قمرايا 30.2</t>
  </si>
  <si>
    <t>F-RTNR 350 F-RETAINE</t>
  </si>
  <si>
    <t>بروفيله 35 سم</t>
  </si>
  <si>
    <t>J-RETAINER 40MM</t>
  </si>
  <si>
    <t>بروفيله 4 سم</t>
  </si>
  <si>
    <t>قمرايا 30 سم</t>
  </si>
  <si>
    <t>PLAS PLATE</t>
  </si>
  <si>
    <t>بروفيله شباك صغير</t>
  </si>
  <si>
    <t>J-RTNR 350 J-RETAINE</t>
  </si>
  <si>
    <t>F-RTNR 290 F-RETAINE</t>
  </si>
  <si>
    <t>بروفيله 29 سم</t>
  </si>
  <si>
    <t>J-RTNR 580 J-RETAINE</t>
  </si>
  <si>
    <t>بروفيله 58 سم</t>
  </si>
  <si>
    <t>REINF 1x110x110</t>
  </si>
  <si>
    <t>بروفيله مربعة 11*11</t>
  </si>
  <si>
    <t>PLAS PLATE 1.5x80x10</t>
  </si>
  <si>
    <t>بروفيله مربعة 10.5 * 8</t>
  </si>
  <si>
    <t>قمرايا 29 سم</t>
  </si>
  <si>
    <t>EXTR LIST 20FLx260</t>
  </si>
  <si>
    <t>قمرايا 28 سم</t>
  </si>
  <si>
    <t>EXTR LIST 20FLx210 _</t>
  </si>
  <si>
    <t>قمرايا 21 سم</t>
  </si>
  <si>
    <t>قمرايا 36 سم</t>
  </si>
  <si>
    <t>J-RTNR 140</t>
  </si>
  <si>
    <t>بروفيله مفرغ 14 سم</t>
  </si>
  <si>
    <t>CPT TT4</t>
  </si>
  <si>
    <t>موكت اسود ناشف 200 سم</t>
  </si>
  <si>
    <t>CPT-DILOURS-G500-TT2</t>
  </si>
  <si>
    <t>موكت اسود طري 175 سم</t>
  </si>
  <si>
    <t>LOOP TAPE 20MM TOOL</t>
  </si>
  <si>
    <t>كوتش ناعم</t>
  </si>
  <si>
    <t>HOOK TAPE 20 RP</t>
  </si>
  <si>
    <t>كوتش خشن</t>
  </si>
  <si>
    <t>LOOP TAPE 40 RP NEUT</t>
  </si>
  <si>
    <t>كوتش ابيض ناعم</t>
  </si>
  <si>
    <t>ZIP ASSY CONCEAL 17x</t>
  </si>
  <si>
    <t>سوستة قاعدة كنبة</t>
  </si>
  <si>
    <t>I-SIZE BUTTON</t>
  </si>
  <si>
    <t>علبة ايزوفكس</t>
  </si>
  <si>
    <t>I-SIZE BACK WASHER</t>
  </si>
  <si>
    <t>علبة بيضاء ايزوفكس</t>
  </si>
  <si>
    <t>RIBBON 20 RP RIBBON</t>
  </si>
  <si>
    <t>شريط اسود</t>
  </si>
  <si>
    <t>THD 25/3 107TEX ANDR</t>
  </si>
  <si>
    <t>خيط احمر</t>
  </si>
  <si>
    <t>خيط بيج 13</t>
  </si>
  <si>
    <t>Total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</si>
</sst>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#\ &quot;M&quot;"/>
    <numFmt numFmtId="166" formatCode="#.0\ &quot;M&quot;"/>
    <numFmt numFmtId="167" formatCode="#.00\ &quot;M&quot;"/>
    <numFmt numFmtId="168" formatCode="#.000\ &quot;M&quot;"/>
    <numFmt numFmtId="169" formatCode="_([$€-2]\ * #,##0.00_);_([$€-2]\ * \(#,##0.00\);_([$€-2]\ * &quot;-&quot;??_);_(@_)"/>
    <numFmt numFmtId="170" formatCode="_([$€-2]\ * #,##0.000_);_([$€-2]\ * \(#,##0.000\);_([$€-2]\ * &quot;-&quot;??_);_(@_)"/>
    <numFmt numFmtId="171" formatCode="_([$€-2]\ * #,##0.0000_);_([$€-2]\ * \(#,##0.0000\);_([$€-2]\ * &quot;-&quot;??_);_(@_)"/>
  </numFmts>
  <fonts count="2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Comic Sans MS"/>
      <family val="4"/>
    </font>
    <font>
      <sz val="10"/>
      <color theme="1"/>
      <name val="Arial"/>
      <family val="2"/>
    </font>
    <font>
      <b/>
      <sz val="13"/>
      <color theme="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sz val="14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entury Gothic"/>
      <family val="2"/>
    </font>
    <font>
      <b/>
      <sz val="14"/>
      <color theme="0"/>
      <name val="Aptos Narrow"/>
      <family val="2"/>
      <scheme val="minor"/>
    </font>
    <font>
      <b/>
      <sz val="9"/>
      <name val="Arial"/>
      <family val="2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0" fontId="3" fillId="0" borderId="0"/>
    <xf numFmtId="0" fontId="5" fillId="0" borderId="0"/>
    <xf numFmtId="0" fontId="6" fillId="0" borderId="10" applyNumberFormat="0" applyFill="0" applyAlignment="0" applyProtection="0"/>
    <xf numFmtId="0" fontId="23" fillId="0" borderId="0"/>
    <xf numFmtId="0" fontId="1" fillId="0" borderId="0" applyNumberFormat="0" applyFill="0" applyBorder="0">
      <alignment horizontal="right" vertical="center" wrapText="1"/>
    </xf>
  </cellStyleXfs>
  <cellXfs count="119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4" fillId="0" borderId="7" xfId="2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0" borderId="8" xfId="2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left" shrinkToFit="1"/>
    </xf>
    <xf numFmtId="0" fontId="2" fillId="2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left" shrinkToFit="1"/>
    </xf>
    <xf numFmtId="0" fontId="0" fillId="0" borderId="7" xfId="0" applyBorder="1" applyAlignment="1">
      <alignment horizontal="left" shrinkToFi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1" fillId="0" borderId="2" xfId="0" applyFont="1" applyBorder="1"/>
    <xf numFmtId="0" fontId="11" fillId="5" borderId="2" xfId="0" applyFont="1" applyFill="1" applyBorder="1"/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66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4" borderId="22" xfId="1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167" fontId="12" fillId="0" borderId="13" xfId="0" applyNumberFormat="1" applyFont="1" applyBorder="1" applyAlignment="1">
      <alignment horizontal="center" vertical="center"/>
    </xf>
    <xf numFmtId="0" fontId="8" fillId="4" borderId="22" xfId="4" applyFont="1" applyFill="1" applyBorder="1" applyAlignment="1">
      <alignment horizontal="center" vertical="center" wrapText="1"/>
    </xf>
    <xf numFmtId="165" fontId="12" fillId="0" borderId="15" xfId="0" applyNumberFormat="1" applyFont="1" applyBorder="1" applyAlignment="1">
      <alignment horizontal="center" vertical="center"/>
    </xf>
    <xf numFmtId="0" fontId="1" fillId="2" borderId="11" xfId="1" applyFill="1" applyBorder="1" applyAlignment="1">
      <alignment horizontal="center" vertical="center" wrapText="1"/>
    </xf>
    <xf numFmtId="0" fontId="1" fillId="2" borderId="22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0" fontId="11" fillId="0" borderId="13" xfId="0" applyFont="1" applyBorder="1"/>
    <xf numFmtId="0" fontId="11" fillId="5" borderId="13" xfId="0" applyFont="1" applyFill="1" applyBorder="1"/>
    <xf numFmtId="168" fontId="12" fillId="0" borderId="14" xfId="0" applyNumberFormat="1" applyFont="1" applyBorder="1" applyAlignment="1">
      <alignment horizontal="center" vertical="center"/>
    </xf>
    <xf numFmtId="167" fontId="12" fillId="0" borderId="14" xfId="0" applyNumberFormat="1" applyFont="1" applyBorder="1" applyAlignment="1">
      <alignment horizontal="center" vertical="center"/>
    </xf>
    <xf numFmtId="167" fontId="12" fillId="5" borderId="14" xfId="0" applyNumberFormat="1" applyFont="1" applyFill="1" applyBorder="1" applyAlignment="1">
      <alignment horizontal="center" vertical="center"/>
    </xf>
    <xf numFmtId="0" fontId="11" fillId="0" borderId="15" xfId="0" applyFont="1" applyBorder="1"/>
    <xf numFmtId="0" fontId="11" fillId="0" borderId="9" xfId="0" applyFont="1" applyBorder="1"/>
    <xf numFmtId="167" fontId="12" fillId="0" borderId="20" xfId="0" applyNumberFormat="1" applyFont="1" applyBorder="1" applyAlignment="1">
      <alignment horizontal="center" vertical="center"/>
    </xf>
    <xf numFmtId="0" fontId="0" fillId="5" borderId="0" xfId="0" applyFill="1"/>
    <xf numFmtId="0" fontId="8" fillId="7" borderId="11" xfId="1" applyFont="1" applyFill="1" applyBorder="1" applyAlignment="1">
      <alignment horizontal="center" vertical="center" wrapText="1"/>
    </xf>
    <xf numFmtId="0" fontId="8" fillId="7" borderId="22" xfId="1" applyFont="1" applyFill="1" applyBorder="1" applyAlignment="1">
      <alignment horizontal="center" vertical="center" wrapText="1"/>
    </xf>
    <xf numFmtId="0" fontId="8" fillId="7" borderId="12" xfId="1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168" fontId="15" fillId="0" borderId="20" xfId="0" applyNumberFormat="1" applyFont="1" applyBorder="1" applyAlignment="1">
      <alignment horizontal="center" vertical="center"/>
    </xf>
    <xf numFmtId="166" fontId="14" fillId="0" borderId="9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9" fillId="5" borderId="25" xfId="0" applyFont="1" applyFill="1" applyBorder="1" applyAlignment="1">
      <alignment horizontal="center" vertical="center" textRotation="90"/>
    </xf>
    <xf numFmtId="0" fontId="8" fillId="2" borderId="11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168" fontId="12" fillId="0" borderId="20" xfId="0" applyNumberFormat="1" applyFont="1" applyBorder="1" applyAlignment="1">
      <alignment horizontal="center" vertical="center"/>
    </xf>
    <xf numFmtId="1" fontId="17" fillId="0" borderId="13" xfId="0" applyNumberFormat="1" applyFont="1" applyBorder="1" applyAlignment="1">
      <alignment horizontal="left"/>
    </xf>
    <xf numFmtId="167" fontId="11" fillId="0" borderId="14" xfId="0" applyNumberFormat="1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left"/>
    </xf>
    <xf numFmtId="0" fontId="12" fillId="0" borderId="9" xfId="0" applyFont="1" applyBorder="1" applyAlignment="1">
      <alignment horizontal="left" vertical="center"/>
    </xf>
    <xf numFmtId="167" fontId="11" fillId="0" borderId="20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1" fillId="0" borderId="14" xfId="0" applyFont="1" applyBorder="1"/>
    <xf numFmtId="0" fontId="11" fillId="5" borderId="14" xfId="0" applyFont="1" applyFill="1" applyBorder="1"/>
    <xf numFmtId="0" fontId="11" fillId="0" borderId="20" xfId="0" applyFont="1" applyBorder="1"/>
    <xf numFmtId="168" fontId="12" fillId="0" borderId="13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168" fontId="15" fillId="0" borderId="15" xfId="0" applyNumberFormat="1" applyFont="1" applyBorder="1" applyAlignment="1">
      <alignment horizontal="center" vertical="center"/>
    </xf>
    <xf numFmtId="168" fontId="12" fillId="0" borderId="15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right" vertical="center"/>
    </xf>
    <xf numFmtId="0" fontId="12" fillId="0" borderId="20" xfId="0" applyFont="1" applyBorder="1" applyAlignment="1">
      <alignment horizontal="right" vertical="center"/>
    </xf>
    <xf numFmtId="167" fontId="11" fillId="0" borderId="13" xfId="0" applyNumberFormat="1" applyFont="1" applyBorder="1" applyAlignment="1">
      <alignment horizontal="center" vertical="center"/>
    </xf>
    <xf numFmtId="167" fontId="11" fillId="0" borderId="15" xfId="0" applyNumberFormat="1" applyFont="1" applyBorder="1" applyAlignment="1">
      <alignment horizontal="center" vertical="center"/>
    </xf>
    <xf numFmtId="0" fontId="18" fillId="5" borderId="18" xfId="0" applyFont="1" applyFill="1" applyBorder="1" applyAlignment="1">
      <alignment horizontal="center"/>
    </xf>
    <xf numFmtId="16" fontId="14" fillId="6" borderId="11" xfId="0" applyNumberFormat="1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16" fontId="0" fillId="0" borderId="0" xfId="0" applyNumberFormat="1"/>
    <xf numFmtId="0" fontId="18" fillId="5" borderId="18" xfId="0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 wrapText="1"/>
    </xf>
    <xf numFmtId="0" fontId="10" fillId="2" borderId="32" xfId="1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right" vertical="center"/>
    </xf>
    <xf numFmtId="0" fontId="14" fillId="0" borderId="29" xfId="0" applyFont="1" applyBorder="1" applyAlignment="1">
      <alignment horizontal="right" vertical="center"/>
    </xf>
    <xf numFmtId="0" fontId="11" fillId="0" borderId="17" xfId="0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 wrapText="1"/>
    </xf>
    <xf numFmtId="169" fontId="14" fillId="0" borderId="2" xfId="0" applyNumberFormat="1" applyFont="1" applyBorder="1" applyAlignment="1">
      <alignment horizontal="right" vertical="center"/>
    </xf>
    <xf numFmtId="0" fontId="1" fillId="2" borderId="26" xfId="1" applyFill="1" applyBorder="1" applyAlignment="1">
      <alignment horizontal="center" vertical="center" wrapText="1"/>
    </xf>
    <xf numFmtId="169" fontId="11" fillId="0" borderId="27" xfId="0" applyNumberFormat="1" applyFont="1" applyBorder="1"/>
    <xf numFmtId="171" fontId="14" fillId="0" borderId="2" xfId="0" applyNumberFormat="1" applyFont="1" applyBorder="1" applyAlignment="1">
      <alignment horizontal="right" vertical="center"/>
    </xf>
    <xf numFmtId="170" fontId="14" fillId="0" borderId="2" xfId="0" applyNumberFormat="1" applyFont="1" applyBorder="1" applyAlignment="1">
      <alignment horizontal="right" vertical="center"/>
    </xf>
    <xf numFmtId="0" fontId="18" fillId="5" borderId="33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26" xfId="1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textRotation="90"/>
    </xf>
    <xf numFmtId="0" fontId="18" fillId="5" borderId="30" xfId="0" applyFont="1" applyFill="1" applyBorder="1" applyAlignment="1">
      <alignment horizontal="center"/>
    </xf>
    <xf numFmtId="0" fontId="18" fillId="5" borderId="31" xfId="0" applyFont="1" applyFill="1" applyBorder="1" applyAlignment="1">
      <alignment horizontal="center"/>
    </xf>
    <xf numFmtId="0" fontId="18" fillId="5" borderId="18" xfId="0" applyFont="1" applyFill="1" applyBorder="1" applyAlignment="1">
      <alignment horizontal="center"/>
    </xf>
    <xf numFmtId="0" fontId="18" fillId="5" borderId="19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3" fillId="5" borderId="23" xfId="0" applyFont="1" applyFill="1" applyBorder="1" applyAlignment="1">
      <alignment horizontal="center" vertical="center" textRotation="90"/>
    </xf>
    <xf numFmtId="0" fontId="13" fillId="5" borderId="25" xfId="0" applyFont="1" applyFill="1" applyBorder="1" applyAlignment="1">
      <alignment horizontal="center" vertical="center" textRotation="90"/>
    </xf>
    <xf numFmtId="0" fontId="13" fillId="5" borderId="21" xfId="0" applyFont="1" applyFill="1" applyBorder="1" applyAlignment="1">
      <alignment horizontal="center" vertical="center" textRotation="90"/>
    </xf>
    <xf numFmtId="0" fontId="19" fillId="5" borderId="25" xfId="0" applyFont="1" applyFill="1" applyBorder="1" applyAlignment="1">
      <alignment horizontal="center" vertical="center" textRotation="90"/>
    </xf>
    <xf numFmtId="0" fontId="19" fillId="5" borderId="21" xfId="0" applyFont="1" applyFill="1" applyBorder="1" applyAlignment="1">
      <alignment horizontal="center" vertical="center" textRotation="90"/>
    </xf>
    <xf numFmtId="0" fontId="20" fillId="5" borderId="23" xfId="0" applyFont="1" applyFill="1" applyBorder="1" applyAlignment="1">
      <alignment horizontal="center" vertical="center" textRotation="90"/>
    </xf>
    <xf numFmtId="0" fontId="20" fillId="5" borderId="25" xfId="0" applyFont="1" applyFill="1" applyBorder="1" applyAlignment="1">
      <alignment horizontal="center" vertical="center" textRotation="90"/>
    </xf>
    <xf numFmtId="0" fontId="16" fillId="5" borderId="0" xfId="0" applyFont="1" applyFill="1" applyAlignment="1">
      <alignment horizontal="center" vertical="center" textRotation="90"/>
    </xf>
  </cellXfs>
  <cellStyles count="7">
    <cellStyle name="Heading 2" xfId="4" builtinId="17"/>
    <cellStyle name="Heading 3" xfId="1" builtinId="18"/>
    <cellStyle name="Normal" xfId="0" builtinId="0"/>
    <cellStyle name="Normal 4" xfId="5" xr:uid="{4F35AB70-3E64-4FAB-8E74-BD9558EC3250}"/>
    <cellStyle name="Normal 6" xfId="2" xr:uid="{24D59140-C24F-445A-BD6B-3132E5849DCC}"/>
    <cellStyle name="Normal 7" xfId="3" xr:uid="{B7699640-81C4-494F-AE1A-23E6713F53EC}"/>
    <cellStyle name="Table Heading right alignment" xfId="6" xr:uid="{825AF821-A736-4DDE-9B73-44EE6BAC55AF}"/>
  </cellStyles>
  <dxfs count="1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" refreshedDate="45802.401118634261" createdVersion="8" refreshedVersion="8" minRefreshableVersion="3" recordCount="53" xr:uid="{905B6DBB-D584-42B8-B063-EAEFE0DA9D4F}">
  <cacheSource type="worksheet">
    <worksheetSource ref="A1:C54" sheet="4x40 summary"/>
  </cacheSource>
  <cacheFields count="3">
    <cacheField name="REF ADIENT" numFmtId="0">
      <sharedItems containsMixedTypes="1" containsNumber="1" containsInteger="1" minValue="4370075" maxValue="4370075" count="31">
        <s v="7151884-CKD-9"/>
        <s v="7151881-CKD-9"/>
        <s v="7151877-CKD-9"/>
        <s v="7151887-CKD-9"/>
        <s v="7151934-CKD-9"/>
        <s v="7151936-CKD-9"/>
        <s v="7151937-CKD-8"/>
        <s v="7151939-CKD-8"/>
        <s v="7151940-CKD-8"/>
        <s v="4171343-0-8"/>
        <s v="4171348-0-8"/>
        <s v="4171684-0-9"/>
        <s v="4171687-0-9"/>
        <s v="4171380-0-8"/>
        <s v="4171388-0-8"/>
        <s v="4171389-0-8"/>
        <s v="4171741-0-9"/>
        <s v="4171746-0-9"/>
        <s v="6124684-E3P-8"/>
        <s v="4177783-0-9"/>
        <s v="6160573-0-9"/>
        <s v="4171615-0-9"/>
        <s v="4171641-0-9"/>
        <s v="4171638-0-9"/>
        <s v="4172550-0-9"/>
        <s v="4172559-0-9"/>
        <s v="4172560-0-9"/>
        <s v="4171956-0-9"/>
        <s v="2847667-H1"/>
        <s v="3465875-C4"/>
        <n v="4370075"/>
      </sharedItems>
    </cacheField>
    <cacheField name="DESCRIPTION" numFmtId="0">
      <sharedItems/>
    </cacheField>
    <cacheField name="QTY" numFmtId="0">
      <sharedItems containsSemiMixedTypes="0" containsString="0" containsNumber="1" containsInteger="1" minValue="18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MANUAL - FRONT RIGHT SEAT BACKREST FRAME"/>
    <n v="180"/>
  </r>
  <r>
    <x v="1"/>
    <s v="POWER - FRONT SEAT LEFT / RIGHT BACKREST FRAME - NON MEMO"/>
    <n v="60"/>
  </r>
  <r>
    <x v="2"/>
    <s v="MANUAL - FRONT LEFT SEAT BACKREST FRAME"/>
    <n v="60"/>
  </r>
  <r>
    <x v="3"/>
    <s v="6WAY MANUAL - FRONT RH SEAT CUSHION FRAME "/>
    <n v="216"/>
  </r>
  <r>
    <x v="4"/>
    <s v="6WAY HYBRID - FRONT LHD DRIVER SEAT CUSHION FRAME"/>
    <n v="36"/>
  </r>
  <r>
    <x v="5"/>
    <s v="6WAY MANUAL - FRONT LH SEAT CUSHION FRAME "/>
    <n v="36"/>
  </r>
  <r>
    <x v="6"/>
    <s v="REAR SEAT BACKREST FRAME 40%"/>
    <n v="108"/>
  </r>
  <r>
    <x v="7"/>
    <s v="REAR SEAT BACKREST FRAME 60% W/ ARMREST"/>
    <n v="144"/>
  </r>
  <r>
    <x v="8"/>
    <s v="REAR SEAT BACKREST FRAME 60% W/O ARMREST"/>
    <n v="126"/>
  </r>
  <r>
    <x v="0"/>
    <s v="MANUAL - FRONT RIGHT SEAT BACKREST FRAME"/>
    <n v="180"/>
  </r>
  <r>
    <x v="1"/>
    <s v="POWER - FRONT SEAT LEFT / RIGHT BACKREST FRAME - NON MEMO"/>
    <n v="120"/>
  </r>
  <r>
    <x v="2"/>
    <s v="MANUAL - FRONT LEFT SEAT BACKREST FRAME"/>
    <n v="60"/>
  </r>
  <r>
    <x v="3"/>
    <s v="6WAY MANUAL - FRONT RH SEAT CUSHION FRAME "/>
    <n v="144"/>
  </r>
  <r>
    <x v="4"/>
    <s v="6WAY HYBRID - FRONT LHD DRIVER SEAT CUSHION FRAME"/>
    <n v="144"/>
  </r>
  <r>
    <x v="5"/>
    <s v="6WAY MANUAL - FRONT LH SEAT CUSHION FRAME "/>
    <n v="84"/>
  </r>
  <r>
    <x v="6"/>
    <s v="REAR SEAT BACKREST FRAME 40%"/>
    <n v="180"/>
  </r>
  <r>
    <x v="7"/>
    <s v="REAR SEAT BACKREST FRAME 60% W/ ARMREST"/>
    <n v="36"/>
  </r>
  <r>
    <x v="8"/>
    <s v="REAR SEAT BACKREST FRAME 60% W/O ARMREST"/>
    <n v="18"/>
  </r>
  <r>
    <x v="0"/>
    <s v="MANUAL - FRONT RIGHT SEAT BACKREST FRAME"/>
    <n v="180"/>
  </r>
  <r>
    <x v="1"/>
    <s v="POWER - FRONT SEAT LEFT / RIGHT BACKREST FRAME - NON MEMO"/>
    <n v="120"/>
  </r>
  <r>
    <x v="2"/>
    <s v="MANUAL - FRONT LEFT SEAT BACKREST FRAME"/>
    <n v="120"/>
  </r>
  <r>
    <x v="3"/>
    <s v="6WAY MANUAL - FRONT RH SEAT CUSHION FRAME "/>
    <n v="144"/>
  </r>
  <r>
    <x v="4"/>
    <s v="6WAY HYBRID - FRONT LHD DRIVER SEAT CUSHION FRAME"/>
    <n v="36"/>
  </r>
  <r>
    <x v="5"/>
    <s v="6WAY MANUAL - FRONT LH SEAT CUSHION FRAME "/>
    <n v="36"/>
  </r>
  <r>
    <x v="6"/>
    <s v="REAR SEAT BACKREST FRAME 40%"/>
    <n v="216"/>
  </r>
  <r>
    <x v="7"/>
    <s v="REAR SEAT BACKREST FRAME 60% W/ ARMREST"/>
    <n v="126"/>
  </r>
  <r>
    <x v="8"/>
    <s v="REAR SEAT BACKREST FRAME 60% W/O ARMREST"/>
    <n v="90"/>
  </r>
  <r>
    <x v="0"/>
    <s v="MANUAL - FRONT RIGHT SEAT BACKREST FRAME"/>
    <n v="40"/>
  </r>
  <r>
    <x v="4"/>
    <s v="6WAY HYBRID - FRONT LHD DRIVER SEAT CUSHION FRAME"/>
    <n v="120"/>
  </r>
  <r>
    <x v="5"/>
    <s v="6WAY MANUAL - FRONT LH SEAT CUSHION FRAME "/>
    <n v="84"/>
  </r>
  <r>
    <x v="6"/>
    <s v="REAR SEAT BACKREST FRAME 40%"/>
    <n v="72"/>
  </r>
  <r>
    <x v="9"/>
    <s v="LATCH RH 40%"/>
    <n v="800"/>
  </r>
  <r>
    <x v="10"/>
    <s v="LATCH LH 60%"/>
    <n v="800"/>
  </r>
  <r>
    <x v="11"/>
    <s v="GUIDE APPUI-TETE SIEGE AV G (LISSE)_x000a_FRONT - NON LOCKING BEZEL"/>
    <n v="5000"/>
  </r>
  <r>
    <x v="12"/>
    <s v="FRONT - LOCKING BEZEL"/>
    <n v="5000"/>
  </r>
  <r>
    <x v="13"/>
    <s v="LATCH COVER LH / RH"/>
    <n v="888"/>
  </r>
  <r>
    <x v="14"/>
    <s v="LATERAL OUTER PIVOT BRACKET COVER LH"/>
    <n v="1728"/>
  </r>
  <r>
    <x v="15"/>
    <s v="LATERAL OUTER PIVOT BRACKET COVER RH"/>
    <n v="1728"/>
  </r>
  <r>
    <x v="16"/>
    <s v="LH - SIDE COVER - 4WP+2WM LEFT POWER + LUMBAR"/>
    <n v="300"/>
  </r>
  <r>
    <x v="17"/>
    <s v="RH - SIDE COVER  - 6WAY MANUAL W/ POWER + LUMBAR HYBRID"/>
    <n v="180"/>
  </r>
  <r>
    <x v="18"/>
    <s v="REAR SEAT ARMREST - ML L3 option"/>
    <n v="576"/>
  </r>
  <r>
    <x v="19"/>
    <s v="HEATING MAT CUSHION "/>
    <n v="1700"/>
  </r>
  <r>
    <x v="20"/>
    <s v="HEATING MAT BACKREST ML"/>
    <n v="1500"/>
  </r>
  <r>
    <x v="21"/>
    <s v="CUSHION SUSPENSION MAT W/ HA SEAT (6W)"/>
    <n v="768"/>
  </r>
  <r>
    <x v="22"/>
    <s v="BACKREST SUSPENSION MAT - POWER LUMBAR + MASSAGE LH/RH"/>
    <n v="1200"/>
  </r>
  <r>
    <x v="23"/>
    <s v="BACKREST SUSPENSION MAT - MECHANICAL LUMBAR LHD DRIVER"/>
    <n v="600"/>
  </r>
  <r>
    <x v="24"/>
    <s v="SWITCH POWER LUMBAR FOR HYBRID FS LH"/>
    <n v="640"/>
  </r>
  <r>
    <x v="25"/>
    <s v="SWITCH POWER LUMBAR FOR HYBRID FS RH"/>
    <n v="640"/>
  </r>
  <r>
    <x v="26"/>
    <s v="SBR SENSOR"/>
    <n v="180"/>
  </r>
  <r>
    <x v="27"/>
    <s v="BELT BUCKLE LH "/>
    <n v="1260"/>
  </r>
  <r>
    <x v="28"/>
    <s v="TRIM CLIP"/>
    <n v="4000"/>
  </r>
  <r>
    <x v="29"/>
    <s v="HOKK.YKK Z15-3 X 100MM"/>
    <n v="1000"/>
  </r>
  <r>
    <x v="30"/>
    <s v="CUSHION EPP_INSERT FOR CENTER SEAT PSA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2A6A1-838D-41E5-AB76-B8FAC49D6FE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34" firstHeaderRow="1" firstDataRow="1" firstDataCol="1"/>
  <pivotFields count="3">
    <pivotField axis="axisRow" showAll="0">
      <items count="32">
        <item x="30"/>
        <item x="28"/>
        <item x="29"/>
        <item x="9"/>
        <item x="10"/>
        <item x="13"/>
        <item x="14"/>
        <item x="15"/>
        <item x="21"/>
        <item x="23"/>
        <item x="22"/>
        <item x="11"/>
        <item x="12"/>
        <item x="16"/>
        <item x="17"/>
        <item x="27"/>
        <item x="24"/>
        <item x="25"/>
        <item x="26"/>
        <item x="19"/>
        <item x="18"/>
        <item x="20"/>
        <item x="2"/>
        <item x="1"/>
        <item x="0"/>
        <item x="3"/>
        <item x="4"/>
        <item x="5"/>
        <item x="6"/>
        <item x="7"/>
        <item x="8"/>
        <item t="default"/>
      </items>
    </pivotField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TY" fld="2" baseField="0" baseItem="0"/>
  </dataFields>
  <formats count="10">
    <format dxfId="9">
      <pivotArea dataOnly="0" labelOnly="1" fieldPosition="0">
        <references count="1">
          <reference field="0" count="1">
            <x v="24"/>
          </reference>
        </references>
      </pivotArea>
    </format>
    <format dxfId="8">
      <pivotArea dataOnly="0" labelOnly="1" fieldPosition="0">
        <references count="1">
          <reference field="0" count="1">
            <x v="23"/>
          </reference>
        </references>
      </pivotArea>
    </format>
    <format dxfId="7">
      <pivotArea dataOnly="0" labelOnly="1" fieldPosition="0">
        <references count="1">
          <reference field="0" count="1">
            <x v="22"/>
          </reference>
        </references>
      </pivotArea>
    </format>
    <format dxfId="6">
      <pivotArea dataOnly="0" labelOnly="1" fieldPosition="0">
        <references count="1">
          <reference field="0" count="1">
            <x v="25"/>
          </reference>
        </references>
      </pivotArea>
    </format>
    <format dxfId="5">
      <pivotArea dataOnly="0" labelOnly="1" fieldPosition="0">
        <references count="1">
          <reference field="0" count="1">
            <x v="26"/>
          </reference>
        </references>
      </pivotArea>
    </format>
    <format dxfId="4">
      <pivotArea dataOnly="0" labelOnly="1" fieldPosition="0">
        <references count="1">
          <reference field="0" count="1">
            <x v="27"/>
          </reference>
        </references>
      </pivotArea>
    </format>
    <format dxfId="3">
      <pivotArea dataOnly="0" labelOnly="1" fieldPosition="0">
        <references count="1">
          <reference field="0" count="1">
            <x v="28"/>
          </reference>
        </references>
      </pivotArea>
    </format>
    <format dxfId="2">
      <pivotArea dataOnly="0" labelOnly="1" fieldPosition="0">
        <references count="1">
          <reference field="0" count="1">
            <x v="29"/>
          </reference>
        </references>
      </pivotArea>
    </format>
    <format dxfId="1">
      <pivotArea dataOnly="0" labelOnly="1" fieldPosition="0">
        <references count="1">
          <reference field="0" count="1">
            <x v="30"/>
          </reference>
        </references>
      </pivotArea>
    </format>
    <format dxfId="0">
      <pivotArea dataOnly="0" labelOnly="1" fieldPosition="0">
        <references count="1">
          <reference field="0" count="2"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1FB7-1DD8-4D3E-BD95-790B1D99C613}">
  <dimension ref="A1:X89"/>
  <sheetViews>
    <sheetView tabSelected="1" workbookViewId="0">
      <pane xSplit="4" ySplit="2" topLeftCell="E3" activePane="bottomRight" state="frozen"/>
      <selection pane="topRight" activeCell="D1" sqref="D1"/>
      <selection pane="bottomLeft" activeCell="A2" sqref="A2"/>
      <selection pane="bottomRight" activeCell="E13" sqref="E13"/>
    </sheetView>
  </sheetViews>
  <sheetFormatPr defaultRowHeight="14.4" x14ac:dyDescent="0.3"/>
  <cols>
    <col min="1" max="1" width="3.44140625" customWidth="1"/>
    <col min="2" max="2" width="13.6640625" bestFit="1" customWidth="1"/>
    <col min="3" max="4" width="13.77734375" bestFit="1" customWidth="1"/>
    <col min="5" max="5" width="47" customWidth="1"/>
    <col min="6" max="6" width="28.88671875" bestFit="1" customWidth="1"/>
    <col min="7" max="7" width="12" bestFit="1" customWidth="1"/>
    <col min="8" max="9" width="7.109375" bestFit="1" customWidth="1"/>
    <col min="10" max="10" width="10.5546875" customWidth="1"/>
  </cols>
  <sheetData>
    <row r="1" spans="1:10" s="23" customFormat="1" ht="15" thickBot="1" x14ac:dyDescent="0.35">
      <c r="A1" s="24"/>
      <c r="B1" s="100" t="s">
        <v>376</v>
      </c>
      <c r="C1" s="99"/>
      <c r="D1" s="99"/>
      <c r="E1" s="99"/>
      <c r="F1" s="101"/>
      <c r="G1" s="98" t="s">
        <v>387</v>
      </c>
      <c r="H1" s="100" t="s">
        <v>375</v>
      </c>
      <c r="I1" s="99"/>
      <c r="J1" s="86"/>
    </row>
    <row r="2" spans="1:10" x14ac:dyDescent="0.3">
      <c r="A2" s="105" t="s">
        <v>279</v>
      </c>
      <c r="B2" s="102" t="s">
        <v>265</v>
      </c>
      <c r="C2" s="103"/>
      <c r="D2" s="104"/>
      <c r="E2" s="69" t="s">
        <v>377</v>
      </c>
      <c r="F2" s="88" t="s">
        <v>378</v>
      </c>
      <c r="G2" s="92" t="s">
        <v>388</v>
      </c>
      <c r="H2" s="87" t="s">
        <v>371</v>
      </c>
      <c r="I2" s="70" t="s">
        <v>372</v>
      </c>
      <c r="J2" s="26" t="s">
        <v>494</v>
      </c>
    </row>
    <row r="3" spans="1:10" x14ac:dyDescent="0.3">
      <c r="A3" s="105"/>
      <c r="B3" s="68" t="s">
        <v>0</v>
      </c>
      <c r="C3" s="18" t="s">
        <v>1</v>
      </c>
      <c r="D3" s="18"/>
      <c r="E3" s="19" t="s">
        <v>2</v>
      </c>
      <c r="F3" s="89" t="s">
        <v>3</v>
      </c>
      <c r="G3" s="93">
        <v>21.545000000000002</v>
      </c>
      <c r="H3" s="25">
        <v>1</v>
      </c>
      <c r="I3" s="28">
        <v>1</v>
      </c>
      <c r="J3" s="17">
        <v>1504</v>
      </c>
    </row>
    <row r="4" spans="1:10" x14ac:dyDescent="0.3">
      <c r="A4" s="105"/>
      <c r="B4" s="68" t="s">
        <v>4</v>
      </c>
      <c r="C4" s="18" t="s">
        <v>5</v>
      </c>
      <c r="D4" s="18"/>
      <c r="E4" s="19" t="s">
        <v>6</v>
      </c>
      <c r="F4" s="89" t="s">
        <v>7</v>
      </c>
      <c r="G4" s="93">
        <v>33.24</v>
      </c>
      <c r="H4" s="25">
        <v>0</v>
      </c>
      <c r="I4" s="28">
        <v>1</v>
      </c>
      <c r="J4" s="17">
        <v>922</v>
      </c>
    </row>
    <row r="5" spans="1:10" x14ac:dyDescent="0.3">
      <c r="A5" s="105"/>
      <c r="B5" s="68" t="s">
        <v>8</v>
      </c>
      <c r="C5" s="18" t="s">
        <v>9</v>
      </c>
      <c r="D5" s="18"/>
      <c r="E5" s="19" t="s">
        <v>10</v>
      </c>
      <c r="F5" s="89" t="s">
        <v>11</v>
      </c>
      <c r="G5" s="93">
        <v>21.545000000000002</v>
      </c>
      <c r="H5" s="25">
        <v>1</v>
      </c>
      <c r="I5" s="28">
        <v>0</v>
      </c>
      <c r="J5" s="17">
        <v>590</v>
      </c>
    </row>
    <row r="6" spans="1:10" x14ac:dyDescent="0.3">
      <c r="A6" s="105"/>
      <c r="B6" s="68" t="s">
        <v>12</v>
      </c>
      <c r="C6" s="18" t="s">
        <v>13</v>
      </c>
      <c r="D6" s="18"/>
      <c r="E6" s="19" t="s">
        <v>14</v>
      </c>
      <c r="F6" s="89" t="s">
        <v>15</v>
      </c>
      <c r="G6" s="93">
        <v>45.64</v>
      </c>
      <c r="H6" s="25">
        <v>1</v>
      </c>
      <c r="I6" s="28">
        <v>1</v>
      </c>
      <c r="J6" s="17">
        <v>1496</v>
      </c>
    </row>
    <row r="7" spans="1:10" x14ac:dyDescent="0.3">
      <c r="A7" s="105"/>
      <c r="B7" s="68" t="s">
        <v>16</v>
      </c>
      <c r="C7" s="18" t="s">
        <v>17</v>
      </c>
      <c r="D7" s="18" t="s">
        <v>268</v>
      </c>
      <c r="E7" s="19" t="s">
        <v>18</v>
      </c>
      <c r="F7" s="89" t="s">
        <v>19</v>
      </c>
      <c r="G7" s="93">
        <v>57.48</v>
      </c>
      <c r="H7" s="25">
        <v>0</v>
      </c>
      <c r="I7" s="28">
        <v>1</v>
      </c>
      <c r="J7" s="17">
        <v>925</v>
      </c>
    </row>
    <row r="8" spans="1:10" x14ac:dyDescent="0.3">
      <c r="A8" s="105"/>
      <c r="B8" s="68" t="s">
        <v>20</v>
      </c>
      <c r="C8" s="18" t="s">
        <v>21</v>
      </c>
      <c r="D8" s="18"/>
      <c r="E8" s="19" t="s">
        <v>22</v>
      </c>
      <c r="F8" s="89" t="s">
        <v>23</v>
      </c>
      <c r="G8" s="93">
        <v>45.64</v>
      </c>
      <c r="H8" s="25">
        <v>1</v>
      </c>
      <c r="I8" s="28">
        <v>0</v>
      </c>
      <c r="J8" s="17">
        <v>586</v>
      </c>
    </row>
    <row r="9" spans="1:10" x14ac:dyDescent="0.3">
      <c r="A9" s="105"/>
      <c r="B9" s="68" t="s">
        <v>24</v>
      </c>
      <c r="C9" s="18" t="s">
        <v>25</v>
      </c>
      <c r="D9" s="18"/>
      <c r="E9" s="19" t="s">
        <v>26</v>
      </c>
      <c r="F9" s="89" t="s">
        <v>27</v>
      </c>
      <c r="G9" s="93">
        <v>30.45</v>
      </c>
      <c r="H9" s="25">
        <v>1</v>
      </c>
      <c r="I9" s="28">
        <v>1</v>
      </c>
      <c r="J9" s="17">
        <v>1507</v>
      </c>
    </row>
    <row r="10" spans="1:10" x14ac:dyDescent="0.3">
      <c r="A10" s="105"/>
      <c r="B10" s="68" t="s">
        <v>28</v>
      </c>
      <c r="C10" s="18" t="s">
        <v>29</v>
      </c>
      <c r="D10" s="18"/>
      <c r="E10" s="19" t="s">
        <v>30</v>
      </c>
      <c r="F10" s="89" t="s">
        <v>31</v>
      </c>
      <c r="G10" s="93">
        <v>50.91</v>
      </c>
      <c r="H10" s="25">
        <v>0</v>
      </c>
      <c r="I10" s="28">
        <v>1</v>
      </c>
      <c r="J10" s="17">
        <v>925</v>
      </c>
    </row>
    <row r="11" spans="1:10" x14ac:dyDescent="0.3">
      <c r="A11" s="105"/>
      <c r="B11" s="68" t="s">
        <v>32</v>
      </c>
      <c r="C11" s="18" t="s">
        <v>33</v>
      </c>
      <c r="D11" s="18"/>
      <c r="E11" s="19" t="s">
        <v>34</v>
      </c>
      <c r="F11" s="89" t="s">
        <v>35</v>
      </c>
      <c r="G11" s="93">
        <v>68.05</v>
      </c>
      <c r="H11" s="25">
        <v>1</v>
      </c>
      <c r="I11" s="28">
        <v>0</v>
      </c>
      <c r="J11" s="17">
        <v>582</v>
      </c>
    </row>
    <row r="12" spans="1:10" x14ac:dyDescent="0.3">
      <c r="A12" s="105"/>
      <c r="B12" s="68" t="s">
        <v>36</v>
      </c>
      <c r="C12" s="18"/>
      <c r="D12" s="18"/>
      <c r="E12" s="19" t="s">
        <v>37</v>
      </c>
      <c r="F12" s="89" t="s">
        <v>38</v>
      </c>
      <c r="G12" s="93">
        <v>2.6759999999999997</v>
      </c>
      <c r="H12" s="25">
        <v>1</v>
      </c>
      <c r="I12" s="28">
        <v>1</v>
      </c>
      <c r="J12" s="17">
        <v>1735</v>
      </c>
    </row>
    <row r="13" spans="1:10" x14ac:dyDescent="0.3">
      <c r="A13" s="105"/>
      <c r="B13" s="68" t="s">
        <v>39</v>
      </c>
      <c r="C13" s="18"/>
      <c r="D13" s="18"/>
      <c r="E13" s="19" t="s">
        <v>40</v>
      </c>
      <c r="F13" s="89" t="s">
        <v>41</v>
      </c>
      <c r="G13" s="93">
        <v>2.6759999999999997</v>
      </c>
      <c r="H13" s="25">
        <v>1</v>
      </c>
      <c r="I13" s="28">
        <v>1</v>
      </c>
      <c r="J13" s="17">
        <v>1729</v>
      </c>
    </row>
    <row r="14" spans="1:10" x14ac:dyDescent="0.3">
      <c r="A14" s="105"/>
      <c r="B14" s="68" t="s">
        <v>42</v>
      </c>
      <c r="C14" s="18"/>
      <c r="D14" s="18"/>
      <c r="E14" s="19" t="s">
        <v>43</v>
      </c>
      <c r="F14" s="89" t="s">
        <v>44</v>
      </c>
      <c r="G14" s="93">
        <v>0.30149999999999999</v>
      </c>
      <c r="H14" s="25">
        <v>0</v>
      </c>
      <c r="I14" s="28">
        <v>5</v>
      </c>
      <c r="J14" s="17">
        <v>4565</v>
      </c>
    </row>
    <row r="15" spans="1:10" x14ac:dyDescent="0.3">
      <c r="A15" s="105"/>
      <c r="B15" s="68" t="s">
        <v>45</v>
      </c>
      <c r="C15" s="18"/>
      <c r="D15" s="18"/>
      <c r="E15" s="19" t="s">
        <v>46</v>
      </c>
      <c r="F15" s="89" t="s">
        <v>47</v>
      </c>
      <c r="G15" s="93">
        <v>0.38840000000000002</v>
      </c>
      <c r="H15" s="25">
        <v>0</v>
      </c>
      <c r="I15" s="28">
        <v>5</v>
      </c>
      <c r="J15" s="17">
        <v>4575</v>
      </c>
    </row>
    <row r="16" spans="1:10" x14ac:dyDescent="0.3">
      <c r="A16" s="105"/>
      <c r="B16" s="68" t="s">
        <v>48</v>
      </c>
      <c r="C16" s="18"/>
      <c r="D16" s="18"/>
      <c r="E16" s="19" t="s">
        <v>49</v>
      </c>
      <c r="F16" s="89" t="s">
        <v>50</v>
      </c>
      <c r="G16" s="93">
        <v>0.1</v>
      </c>
      <c r="H16" s="25">
        <v>0</v>
      </c>
      <c r="I16" s="28">
        <v>6</v>
      </c>
      <c r="J16" s="17">
        <v>7198</v>
      </c>
    </row>
    <row r="17" spans="1:10" x14ac:dyDescent="0.3">
      <c r="A17" s="105"/>
      <c r="B17" s="68" t="s">
        <v>51</v>
      </c>
      <c r="C17" s="18"/>
      <c r="D17" s="18"/>
      <c r="E17" s="19" t="s">
        <v>52</v>
      </c>
      <c r="F17" s="89" t="s">
        <v>53</v>
      </c>
      <c r="G17" s="93">
        <v>2.1313534652800001</v>
      </c>
      <c r="H17" s="25">
        <v>1</v>
      </c>
      <c r="I17" s="28">
        <v>0</v>
      </c>
      <c r="J17" s="17">
        <v>848</v>
      </c>
    </row>
    <row r="18" spans="1:10" x14ac:dyDescent="0.3">
      <c r="A18" s="105"/>
      <c r="B18" s="68" t="s">
        <v>54</v>
      </c>
      <c r="C18" s="18"/>
      <c r="D18" s="18"/>
      <c r="E18" s="19" t="s">
        <v>55</v>
      </c>
      <c r="F18" s="89" t="s">
        <v>56</v>
      </c>
      <c r="G18" s="93">
        <v>2.7542403584000001</v>
      </c>
      <c r="H18" s="25">
        <v>1</v>
      </c>
      <c r="I18" s="28">
        <v>0</v>
      </c>
      <c r="J18" s="17">
        <v>850</v>
      </c>
    </row>
    <row r="19" spans="1:10" x14ac:dyDescent="0.3">
      <c r="A19" s="105"/>
      <c r="B19" s="68" t="s">
        <v>57</v>
      </c>
      <c r="C19" s="18"/>
      <c r="D19" s="18"/>
      <c r="E19" s="19" t="s">
        <v>58</v>
      </c>
      <c r="F19" s="89" t="s">
        <v>59</v>
      </c>
      <c r="G19" s="93">
        <v>0.82627431856000011</v>
      </c>
      <c r="H19" s="25">
        <v>1</v>
      </c>
      <c r="I19" s="28">
        <v>1</v>
      </c>
      <c r="J19" s="17">
        <v>1608</v>
      </c>
    </row>
    <row r="20" spans="1:10" x14ac:dyDescent="0.3">
      <c r="A20" s="105"/>
      <c r="B20" s="68" t="s">
        <v>60</v>
      </c>
      <c r="C20" s="18"/>
      <c r="D20" s="18"/>
      <c r="E20" s="19" t="s">
        <v>61</v>
      </c>
      <c r="F20" s="89" t="s">
        <v>62</v>
      </c>
      <c r="G20" s="93">
        <v>0.82627431856000011</v>
      </c>
      <c r="H20" s="25">
        <v>1</v>
      </c>
      <c r="I20" s="28">
        <v>1</v>
      </c>
      <c r="J20" s="17">
        <v>1606</v>
      </c>
    </row>
    <row r="21" spans="1:10" x14ac:dyDescent="0.3">
      <c r="A21" s="105"/>
      <c r="B21" s="68" t="s">
        <v>63</v>
      </c>
      <c r="C21" s="18"/>
      <c r="D21" s="18"/>
      <c r="E21" s="19" t="s">
        <v>64</v>
      </c>
      <c r="F21" s="89" t="s">
        <v>65</v>
      </c>
      <c r="G21" s="93">
        <v>0.42530000000000007</v>
      </c>
      <c r="H21" s="25">
        <v>2</v>
      </c>
      <c r="I21" s="28">
        <v>0</v>
      </c>
      <c r="J21" s="17">
        <v>1255</v>
      </c>
    </row>
    <row r="22" spans="1:10" x14ac:dyDescent="0.3">
      <c r="A22" s="105"/>
      <c r="B22" s="68" t="s">
        <v>66</v>
      </c>
      <c r="C22" s="18"/>
      <c r="D22" s="18"/>
      <c r="E22" s="19" t="s">
        <v>67</v>
      </c>
      <c r="F22" s="89" t="s">
        <v>68</v>
      </c>
      <c r="G22" s="93">
        <v>1.71858</v>
      </c>
      <c r="H22" s="25">
        <v>0</v>
      </c>
      <c r="I22" s="28">
        <v>1</v>
      </c>
      <c r="J22" s="17">
        <v>978</v>
      </c>
    </row>
    <row r="23" spans="1:10" x14ac:dyDescent="0.3">
      <c r="A23" s="105"/>
      <c r="B23" s="68" t="s">
        <v>69</v>
      </c>
      <c r="C23" s="18"/>
      <c r="D23" s="18"/>
      <c r="E23" s="19" t="s">
        <v>70</v>
      </c>
      <c r="F23" s="89" t="s">
        <v>71</v>
      </c>
      <c r="G23" s="93">
        <v>0.21506</v>
      </c>
      <c r="H23" s="25">
        <v>0</v>
      </c>
      <c r="I23" s="28">
        <v>1</v>
      </c>
      <c r="J23" s="17">
        <v>937</v>
      </c>
    </row>
    <row r="24" spans="1:10" x14ac:dyDescent="0.3">
      <c r="A24" s="105"/>
      <c r="B24" s="68" t="s">
        <v>72</v>
      </c>
      <c r="C24" s="18"/>
      <c r="D24" s="18"/>
      <c r="E24" s="19" t="s">
        <v>73</v>
      </c>
      <c r="F24" s="89" t="s">
        <v>74</v>
      </c>
      <c r="G24" s="93">
        <v>0.27660000000000001</v>
      </c>
      <c r="H24" s="25">
        <v>1</v>
      </c>
      <c r="I24" s="28">
        <v>0</v>
      </c>
      <c r="J24" s="17">
        <v>815</v>
      </c>
    </row>
    <row r="25" spans="1:10" x14ac:dyDescent="0.3">
      <c r="A25" s="105"/>
      <c r="B25" s="68" t="s">
        <v>75</v>
      </c>
      <c r="C25" s="18"/>
      <c r="D25" s="18"/>
      <c r="E25" s="19" t="s">
        <v>76</v>
      </c>
      <c r="F25" s="89" t="s">
        <v>77</v>
      </c>
      <c r="G25" s="93">
        <v>0.159</v>
      </c>
      <c r="H25" s="25">
        <v>1</v>
      </c>
      <c r="I25" s="28">
        <v>0</v>
      </c>
      <c r="J25" s="17">
        <v>1773</v>
      </c>
    </row>
    <row r="26" spans="1:10" x14ac:dyDescent="0.3">
      <c r="A26" s="105"/>
      <c r="B26" s="68" t="s">
        <v>78</v>
      </c>
      <c r="C26" s="18"/>
      <c r="D26" s="18"/>
      <c r="E26" s="19" t="s">
        <v>79</v>
      </c>
      <c r="F26" s="89" t="s">
        <v>80</v>
      </c>
      <c r="G26" s="93">
        <v>0.73</v>
      </c>
      <c r="H26" s="25">
        <v>1</v>
      </c>
      <c r="I26" s="28">
        <v>0</v>
      </c>
      <c r="J26" s="17">
        <v>1865</v>
      </c>
    </row>
    <row r="27" spans="1:10" x14ac:dyDescent="0.3">
      <c r="A27" s="105"/>
      <c r="B27" s="68" t="s">
        <v>81</v>
      </c>
      <c r="C27" s="18"/>
      <c r="D27" s="18"/>
      <c r="E27" s="19" t="s">
        <v>82</v>
      </c>
      <c r="F27" s="89" t="s">
        <v>83</v>
      </c>
      <c r="G27" s="93">
        <v>0.86799999999999999</v>
      </c>
      <c r="H27" s="25">
        <v>1</v>
      </c>
      <c r="I27" s="28">
        <v>1</v>
      </c>
      <c r="J27" s="17">
        <v>3495</v>
      </c>
    </row>
    <row r="28" spans="1:10" x14ac:dyDescent="0.3">
      <c r="A28" s="105"/>
      <c r="B28" s="68" t="s">
        <v>84</v>
      </c>
      <c r="C28" s="18"/>
      <c r="D28" s="18"/>
      <c r="E28" s="19" t="s">
        <v>85</v>
      </c>
      <c r="F28" s="89" t="s">
        <v>86</v>
      </c>
      <c r="G28" s="93">
        <v>0.39100000000000001</v>
      </c>
      <c r="H28" s="25">
        <v>1</v>
      </c>
      <c r="I28" s="28">
        <v>0</v>
      </c>
      <c r="J28" s="17">
        <v>658</v>
      </c>
    </row>
    <row r="29" spans="1:10" x14ac:dyDescent="0.3">
      <c r="A29" s="105"/>
      <c r="B29" s="68" t="s">
        <v>87</v>
      </c>
      <c r="C29" s="18"/>
      <c r="D29" s="18"/>
      <c r="E29" s="19" t="s">
        <v>88</v>
      </c>
      <c r="F29" s="89" t="s">
        <v>89</v>
      </c>
      <c r="G29" s="93">
        <v>0.39200000000000002</v>
      </c>
      <c r="H29" s="25">
        <v>1</v>
      </c>
      <c r="I29" s="28">
        <v>1</v>
      </c>
      <c r="J29" s="17">
        <v>1750</v>
      </c>
    </row>
    <row r="30" spans="1:10" x14ac:dyDescent="0.3">
      <c r="A30" s="105"/>
      <c r="B30" s="68" t="s">
        <v>90</v>
      </c>
      <c r="C30" s="18"/>
      <c r="D30" s="18"/>
      <c r="E30" s="19" t="s">
        <v>91</v>
      </c>
      <c r="F30" s="89" t="s">
        <v>92</v>
      </c>
      <c r="G30" s="93">
        <v>0.41180097171566082</v>
      </c>
      <c r="H30" s="25">
        <v>0</v>
      </c>
      <c r="I30" s="28">
        <v>2</v>
      </c>
      <c r="J30" s="17">
        <v>1742</v>
      </c>
    </row>
    <row r="31" spans="1:10" x14ac:dyDescent="0.3">
      <c r="A31" s="105"/>
      <c r="B31" s="68" t="s">
        <v>93</v>
      </c>
      <c r="C31" s="18"/>
      <c r="D31" s="18"/>
      <c r="E31" s="19" t="s">
        <v>94</v>
      </c>
      <c r="F31" s="89" t="s">
        <v>95</v>
      </c>
      <c r="G31" s="93">
        <v>0.86938000000000004</v>
      </c>
      <c r="H31" s="25">
        <v>1</v>
      </c>
      <c r="I31" s="28">
        <v>1</v>
      </c>
      <c r="J31" s="17">
        <v>1526</v>
      </c>
    </row>
    <row r="32" spans="1:10" x14ac:dyDescent="0.3">
      <c r="A32" s="105"/>
      <c r="B32" s="68" t="s">
        <v>96</v>
      </c>
      <c r="C32" s="18"/>
      <c r="D32" s="18"/>
      <c r="E32" s="19" t="s">
        <v>97</v>
      </c>
      <c r="F32" s="89" t="s">
        <v>98</v>
      </c>
      <c r="G32" s="93">
        <v>0.49199999999999999</v>
      </c>
      <c r="H32" s="25">
        <v>1</v>
      </c>
      <c r="I32" s="28">
        <v>1</v>
      </c>
      <c r="J32" s="17">
        <v>1541</v>
      </c>
    </row>
    <row r="33" spans="1:10" x14ac:dyDescent="0.3">
      <c r="A33" s="105"/>
      <c r="B33" s="68" t="s">
        <v>99</v>
      </c>
      <c r="C33" s="18"/>
      <c r="D33" s="18"/>
      <c r="E33" s="19" t="s">
        <v>100</v>
      </c>
      <c r="F33" s="89" t="s">
        <v>101</v>
      </c>
      <c r="G33" s="93">
        <v>0.51300000000000001</v>
      </c>
      <c r="H33" s="25">
        <v>1</v>
      </c>
      <c r="I33" s="28">
        <v>1</v>
      </c>
      <c r="J33" s="17">
        <v>1541</v>
      </c>
    </row>
    <row r="34" spans="1:10" x14ac:dyDescent="0.3">
      <c r="A34" s="105"/>
      <c r="B34" s="68" t="s">
        <v>102</v>
      </c>
      <c r="C34" s="18"/>
      <c r="D34" s="18"/>
      <c r="E34" s="19" t="s">
        <v>103</v>
      </c>
      <c r="F34" s="89" t="s">
        <v>104</v>
      </c>
      <c r="G34" s="93">
        <v>4.5209698639999996</v>
      </c>
      <c r="H34" s="25">
        <v>0</v>
      </c>
      <c r="I34" s="28">
        <v>1</v>
      </c>
      <c r="J34" s="17">
        <v>971</v>
      </c>
    </row>
    <row r="35" spans="1:10" x14ac:dyDescent="0.3">
      <c r="A35" s="105"/>
      <c r="B35" s="68" t="s">
        <v>105</v>
      </c>
      <c r="C35" s="18"/>
      <c r="D35" s="18"/>
      <c r="E35" s="19" t="s">
        <v>106</v>
      </c>
      <c r="F35" s="89" t="s">
        <v>386</v>
      </c>
      <c r="G35" s="93">
        <v>5.4550220960000004</v>
      </c>
      <c r="H35" s="25">
        <v>0</v>
      </c>
      <c r="I35" s="28">
        <v>1</v>
      </c>
      <c r="J35" s="17">
        <v>978</v>
      </c>
    </row>
    <row r="36" spans="1:10" x14ac:dyDescent="0.3">
      <c r="A36" s="105"/>
      <c r="B36" s="68" t="s">
        <v>107</v>
      </c>
      <c r="C36" s="18"/>
      <c r="D36" s="18"/>
      <c r="E36" s="19" t="s">
        <v>108</v>
      </c>
      <c r="F36" s="89" t="s">
        <v>109</v>
      </c>
      <c r="G36" s="93">
        <v>0.18</v>
      </c>
      <c r="H36" s="25">
        <v>0</v>
      </c>
      <c r="I36" s="28">
        <v>1</v>
      </c>
      <c r="J36" s="17">
        <v>1366</v>
      </c>
    </row>
    <row r="37" spans="1:10" x14ac:dyDescent="0.3">
      <c r="A37" s="105"/>
      <c r="B37" s="68" t="s">
        <v>110</v>
      </c>
      <c r="C37" s="18"/>
      <c r="D37" s="18"/>
      <c r="E37" s="19" t="s">
        <v>111</v>
      </c>
      <c r="F37" s="89" t="s">
        <v>112</v>
      </c>
      <c r="G37" s="93">
        <v>0.18</v>
      </c>
      <c r="H37" s="25">
        <v>0</v>
      </c>
      <c r="I37" s="28">
        <v>1</v>
      </c>
      <c r="J37" s="17">
        <v>1366</v>
      </c>
    </row>
    <row r="38" spans="1:10" x14ac:dyDescent="0.3">
      <c r="A38" s="105"/>
      <c r="B38" s="68" t="s">
        <v>113</v>
      </c>
      <c r="C38" s="18"/>
      <c r="D38" s="18"/>
      <c r="E38" s="19" t="s">
        <v>114</v>
      </c>
      <c r="F38" s="89" t="s">
        <v>115</v>
      </c>
      <c r="G38" s="93">
        <v>1.89</v>
      </c>
      <c r="H38" s="25">
        <v>0</v>
      </c>
      <c r="I38" s="28">
        <v>1</v>
      </c>
      <c r="J38" s="17">
        <v>3669</v>
      </c>
    </row>
    <row r="39" spans="1:10" x14ac:dyDescent="0.3">
      <c r="A39" s="105"/>
      <c r="B39" s="68" t="s">
        <v>116</v>
      </c>
      <c r="C39" s="18"/>
      <c r="D39" s="18"/>
      <c r="E39" s="19" t="s">
        <v>117</v>
      </c>
      <c r="F39" s="89" t="s">
        <v>118</v>
      </c>
      <c r="G39" s="93">
        <v>3.87</v>
      </c>
      <c r="H39" s="25">
        <v>0</v>
      </c>
      <c r="I39" s="28">
        <v>1</v>
      </c>
      <c r="J39" s="17">
        <v>1146</v>
      </c>
    </row>
    <row r="40" spans="1:10" x14ac:dyDescent="0.3">
      <c r="A40" s="105"/>
      <c r="B40" s="68" t="s">
        <v>119</v>
      </c>
      <c r="C40" s="18"/>
      <c r="D40" s="18"/>
      <c r="E40" s="19" t="s">
        <v>120</v>
      </c>
      <c r="F40" s="89" t="s">
        <v>121</v>
      </c>
      <c r="G40" s="93">
        <v>1.48</v>
      </c>
      <c r="H40" s="25">
        <v>0</v>
      </c>
      <c r="I40" s="28">
        <v>1</v>
      </c>
      <c r="J40" s="17">
        <v>1128</v>
      </c>
    </row>
    <row r="41" spans="1:10" x14ac:dyDescent="0.3">
      <c r="A41" s="105"/>
      <c r="B41" s="68" t="s">
        <v>122</v>
      </c>
      <c r="C41" s="18"/>
      <c r="D41" s="18"/>
      <c r="E41" s="19" t="s">
        <v>123</v>
      </c>
      <c r="F41" s="89" t="s">
        <v>124</v>
      </c>
      <c r="G41" s="93">
        <v>10.4</v>
      </c>
      <c r="H41" s="25">
        <v>0</v>
      </c>
      <c r="I41" s="28">
        <v>2</v>
      </c>
      <c r="J41" s="17">
        <v>1874</v>
      </c>
    </row>
    <row r="42" spans="1:10" x14ac:dyDescent="0.3">
      <c r="A42" s="105"/>
      <c r="B42" s="68" t="s">
        <v>125</v>
      </c>
      <c r="C42" s="18"/>
      <c r="D42" s="18"/>
      <c r="E42" s="19" t="s">
        <v>126</v>
      </c>
      <c r="F42" s="89" t="s">
        <v>127</v>
      </c>
      <c r="G42" s="93">
        <v>6.4019999999999992</v>
      </c>
      <c r="H42" s="25">
        <v>0</v>
      </c>
      <c r="I42" s="28">
        <v>1</v>
      </c>
      <c r="J42" s="17">
        <v>932</v>
      </c>
    </row>
    <row r="43" spans="1:10" x14ac:dyDescent="0.3">
      <c r="A43" s="105"/>
      <c r="B43" s="68" t="s">
        <v>128</v>
      </c>
      <c r="C43" s="18"/>
      <c r="D43" s="18"/>
      <c r="E43" s="19" t="s">
        <v>129</v>
      </c>
      <c r="F43" s="89" t="s">
        <v>130</v>
      </c>
      <c r="G43" s="93">
        <v>7.2220000000000004</v>
      </c>
      <c r="H43" s="25">
        <v>0</v>
      </c>
      <c r="I43" s="28">
        <v>2</v>
      </c>
      <c r="J43" s="17">
        <v>1826</v>
      </c>
    </row>
    <row r="44" spans="1:10" x14ac:dyDescent="0.3">
      <c r="A44" s="105"/>
      <c r="B44" s="68" t="s">
        <v>131</v>
      </c>
      <c r="C44" s="18"/>
      <c r="D44" s="18"/>
      <c r="E44" s="19" t="s">
        <v>132</v>
      </c>
      <c r="F44" s="89" t="s">
        <v>133</v>
      </c>
      <c r="G44" s="93">
        <v>26.722170499999994</v>
      </c>
      <c r="H44" s="25">
        <v>0</v>
      </c>
      <c r="I44" s="28">
        <v>1</v>
      </c>
      <c r="J44" s="17">
        <v>1001</v>
      </c>
    </row>
    <row r="45" spans="1:10" x14ac:dyDescent="0.3">
      <c r="A45" s="105"/>
      <c r="B45" s="68" t="s">
        <v>134</v>
      </c>
      <c r="C45" s="18"/>
      <c r="D45" s="18"/>
      <c r="E45" s="19" t="s">
        <v>135</v>
      </c>
      <c r="F45" s="89" t="s">
        <v>136</v>
      </c>
      <c r="G45" s="93">
        <v>9.1</v>
      </c>
      <c r="H45" s="25">
        <v>2</v>
      </c>
      <c r="I45" s="28">
        <v>0</v>
      </c>
      <c r="J45" s="17">
        <v>1174</v>
      </c>
    </row>
    <row r="46" spans="1:10" x14ac:dyDescent="0.3">
      <c r="A46" s="105"/>
      <c r="B46" s="68" t="s">
        <v>137</v>
      </c>
      <c r="C46" s="18"/>
      <c r="D46" s="18"/>
      <c r="E46" s="19" t="s">
        <v>138</v>
      </c>
      <c r="F46" s="89" t="s">
        <v>139</v>
      </c>
      <c r="G46" s="93">
        <v>4.8899999999999997</v>
      </c>
      <c r="H46" s="25">
        <v>1</v>
      </c>
      <c r="I46" s="28">
        <v>0</v>
      </c>
      <c r="J46" s="17">
        <v>645</v>
      </c>
    </row>
    <row r="47" spans="1:10" x14ac:dyDescent="0.3">
      <c r="A47" s="105"/>
      <c r="B47" s="68" t="s">
        <v>140</v>
      </c>
      <c r="C47" s="18"/>
      <c r="D47" s="18"/>
      <c r="E47" s="19" t="s">
        <v>141</v>
      </c>
      <c r="F47" s="89" t="s">
        <v>142</v>
      </c>
      <c r="G47" s="93">
        <v>6.3040000000000003</v>
      </c>
      <c r="H47" s="25">
        <v>2</v>
      </c>
      <c r="I47" s="28">
        <v>0</v>
      </c>
      <c r="J47" s="17">
        <v>1243</v>
      </c>
    </row>
    <row r="48" spans="1:10" x14ac:dyDescent="0.3">
      <c r="A48" s="105"/>
      <c r="B48" s="68" t="s">
        <v>143</v>
      </c>
      <c r="C48" s="18"/>
      <c r="D48" s="18"/>
      <c r="E48" s="19" t="s">
        <v>144</v>
      </c>
      <c r="F48" s="89" t="s">
        <v>145</v>
      </c>
      <c r="G48" s="93">
        <v>12.235999999999999</v>
      </c>
      <c r="H48" s="25">
        <v>0</v>
      </c>
      <c r="I48" s="28">
        <v>1</v>
      </c>
      <c r="J48" s="17">
        <v>934</v>
      </c>
    </row>
    <row r="49" spans="1:10" x14ac:dyDescent="0.3">
      <c r="A49" s="105"/>
      <c r="B49" s="68" t="s">
        <v>146</v>
      </c>
      <c r="C49" s="18"/>
      <c r="D49" s="18"/>
      <c r="E49" s="19" t="s">
        <v>147</v>
      </c>
      <c r="F49" s="89" t="s">
        <v>148</v>
      </c>
      <c r="G49" s="93">
        <v>17.088999999999999</v>
      </c>
      <c r="H49" s="25">
        <v>0</v>
      </c>
      <c r="I49" s="28">
        <v>1</v>
      </c>
      <c r="J49" s="17">
        <v>932</v>
      </c>
    </row>
    <row r="50" spans="1:10" x14ac:dyDescent="0.3">
      <c r="A50" s="105"/>
      <c r="B50" s="68" t="s">
        <v>149</v>
      </c>
      <c r="C50" s="18"/>
      <c r="D50" s="18"/>
      <c r="E50" s="19" t="s">
        <v>150</v>
      </c>
      <c r="F50" s="89" t="s">
        <v>151</v>
      </c>
      <c r="G50" s="93">
        <v>5.0599999999999996</v>
      </c>
      <c r="H50" s="25">
        <v>1</v>
      </c>
      <c r="I50" s="28">
        <v>0</v>
      </c>
      <c r="J50" s="17">
        <v>970</v>
      </c>
    </row>
    <row r="51" spans="1:10" x14ac:dyDescent="0.3">
      <c r="A51" s="105"/>
      <c r="B51" s="68" t="s">
        <v>152</v>
      </c>
      <c r="C51" s="18"/>
      <c r="D51" s="18"/>
      <c r="E51" s="19" t="s">
        <v>153</v>
      </c>
      <c r="F51" s="89" t="s">
        <v>154</v>
      </c>
      <c r="G51" s="93">
        <v>5.0599999999999996</v>
      </c>
      <c r="H51" s="25">
        <v>1</v>
      </c>
      <c r="I51" s="28">
        <v>0</v>
      </c>
      <c r="J51" s="17">
        <v>969</v>
      </c>
    </row>
    <row r="52" spans="1:10" x14ac:dyDescent="0.3">
      <c r="A52" s="105"/>
      <c r="B52" s="68" t="s">
        <v>155</v>
      </c>
      <c r="C52" s="18"/>
      <c r="D52" s="18"/>
      <c r="E52" s="19" t="s">
        <v>156</v>
      </c>
      <c r="F52" s="89" t="s">
        <v>157</v>
      </c>
      <c r="G52" s="93">
        <v>11.011249999999999</v>
      </c>
      <c r="H52" s="25">
        <v>0</v>
      </c>
      <c r="I52" s="28">
        <v>2</v>
      </c>
      <c r="J52" s="17">
        <v>1916</v>
      </c>
    </row>
    <row r="53" spans="1:10" x14ac:dyDescent="0.3">
      <c r="A53" s="105"/>
      <c r="B53" s="68" t="s">
        <v>158</v>
      </c>
      <c r="C53" s="18"/>
      <c r="D53" s="18"/>
      <c r="E53" s="19" t="s">
        <v>159</v>
      </c>
      <c r="F53" s="89" t="s">
        <v>160</v>
      </c>
      <c r="G53" s="93">
        <v>9.8209999999999997</v>
      </c>
      <c r="H53" s="25">
        <v>0</v>
      </c>
      <c r="I53" s="28">
        <v>2</v>
      </c>
      <c r="J53" s="17">
        <v>1942</v>
      </c>
    </row>
    <row r="54" spans="1:10" x14ac:dyDescent="0.3">
      <c r="A54" s="105"/>
      <c r="B54" s="68" t="s">
        <v>161</v>
      </c>
      <c r="C54" s="18"/>
      <c r="D54" s="18"/>
      <c r="E54" s="19" t="s">
        <v>162</v>
      </c>
      <c r="F54" s="89" t="s">
        <v>163</v>
      </c>
      <c r="G54" s="93">
        <v>1.1609999999999998</v>
      </c>
      <c r="H54" s="25">
        <v>0</v>
      </c>
      <c r="I54" s="28">
        <v>2</v>
      </c>
      <c r="J54" s="17">
        <v>2290</v>
      </c>
    </row>
    <row r="55" spans="1:10" x14ac:dyDescent="0.3">
      <c r="A55" s="105"/>
      <c r="B55" s="68" t="s">
        <v>164</v>
      </c>
      <c r="C55" s="18"/>
      <c r="D55" s="18"/>
      <c r="E55" s="19" t="s">
        <v>165</v>
      </c>
      <c r="F55" s="89" t="s">
        <v>166</v>
      </c>
      <c r="G55" s="93">
        <v>32.967999999999996</v>
      </c>
      <c r="H55" s="25">
        <v>0</v>
      </c>
      <c r="I55" s="28">
        <v>2</v>
      </c>
      <c r="J55" s="17">
        <v>1926</v>
      </c>
    </row>
    <row r="56" spans="1:10" x14ac:dyDescent="0.3">
      <c r="A56" s="105"/>
      <c r="B56" s="68" t="s">
        <v>167</v>
      </c>
      <c r="C56" s="18"/>
      <c r="D56" s="18"/>
      <c r="E56" s="19" t="s">
        <v>168</v>
      </c>
      <c r="F56" s="89" t="s">
        <v>169</v>
      </c>
      <c r="G56" s="93">
        <v>1.0740000000000001</v>
      </c>
      <c r="H56" s="25">
        <v>1</v>
      </c>
      <c r="I56" s="28">
        <v>0</v>
      </c>
      <c r="J56" s="17">
        <v>944</v>
      </c>
    </row>
    <row r="57" spans="1:10" x14ac:dyDescent="0.3">
      <c r="A57" s="105"/>
      <c r="B57" s="68" t="s">
        <v>170</v>
      </c>
      <c r="C57" s="18"/>
      <c r="D57" s="18"/>
      <c r="E57" s="19" t="s">
        <v>171</v>
      </c>
      <c r="F57" s="89" t="s">
        <v>172</v>
      </c>
      <c r="G57" s="93">
        <v>5.9140000000000006</v>
      </c>
      <c r="H57" s="25">
        <v>1</v>
      </c>
      <c r="I57" s="28">
        <v>0</v>
      </c>
      <c r="J57" s="17">
        <v>1167</v>
      </c>
    </row>
    <row r="58" spans="1:10" x14ac:dyDescent="0.3">
      <c r="A58" s="105"/>
      <c r="B58" s="68" t="s">
        <v>173</v>
      </c>
      <c r="C58" s="18"/>
      <c r="D58" s="18"/>
      <c r="E58" s="19" t="s">
        <v>174</v>
      </c>
      <c r="F58" s="89" t="s">
        <v>175</v>
      </c>
      <c r="G58" s="93">
        <v>7.47</v>
      </c>
      <c r="H58" s="25">
        <v>0</v>
      </c>
      <c r="I58" s="28">
        <v>1</v>
      </c>
      <c r="J58" s="17">
        <v>1803</v>
      </c>
    </row>
    <row r="59" spans="1:10" x14ac:dyDescent="0.3">
      <c r="A59" s="105"/>
      <c r="B59" s="68" t="s">
        <v>176</v>
      </c>
      <c r="C59" s="18"/>
      <c r="D59" s="18"/>
      <c r="E59" s="19" t="s">
        <v>177</v>
      </c>
      <c r="F59" s="89" t="s">
        <v>178</v>
      </c>
      <c r="G59" s="93">
        <v>6.35</v>
      </c>
      <c r="H59" s="25">
        <v>0</v>
      </c>
      <c r="I59" s="28">
        <v>1</v>
      </c>
      <c r="J59" s="17">
        <v>913</v>
      </c>
    </row>
    <row r="60" spans="1:10" x14ac:dyDescent="0.3">
      <c r="A60" s="105"/>
      <c r="B60" s="68" t="s">
        <v>179</v>
      </c>
      <c r="C60" s="18"/>
      <c r="D60" s="18"/>
      <c r="E60" s="19" t="s">
        <v>180</v>
      </c>
      <c r="F60" s="89" t="s">
        <v>181</v>
      </c>
      <c r="G60" s="93">
        <v>0.443</v>
      </c>
      <c r="H60" s="25">
        <v>1</v>
      </c>
      <c r="I60" s="28">
        <v>1</v>
      </c>
      <c r="J60" s="17">
        <v>1710</v>
      </c>
    </row>
    <row r="61" spans="1:10" x14ac:dyDescent="0.3">
      <c r="A61" s="105"/>
      <c r="B61" s="68" t="s">
        <v>182</v>
      </c>
      <c r="C61" s="18"/>
      <c r="D61" s="18"/>
      <c r="E61" s="19" t="s">
        <v>183</v>
      </c>
      <c r="F61" s="89" t="s">
        <v>184</v>
      </c>
      <c r="G61" s="93">
        <v>0.443</v>
      </c>
      <c r="H61" s="25">
        <v>1</v>
      </c>
      <c r="I61" s="28">
        <v>1</v>
      </c>
      <c r="J61" s="17">
        <v>1722</v>
      </c>
    </row>
    <row r="62" spans="1:10" x14ac:dyDescent="0.3">
      <c r="A62" s="105"/>
      <c r="B62" s="68" t="s">
        <v>185</v>
      </c>
      <c r="C62" s="18"/>
      <c r="D62" s="18"/>
      <c r="E62" s="19" t="s">
        <v>186</v>
      </c>
      <c r="F62" s="89" t="s">
        <v>187</v>
      </c>
      <c r="G62" s="93">
        <v>4.2099999999999991</v>
      </c>
      <c r="H62" s="25">
        <v>0</v>
      </c>
      <c r="I62" s="28">
        <v>1</v>
      </c>
      <c r="J62" s="17">
        <v>1097</v>
      </c>
    </row>
    <row r="63" spans="1:10" x14ac:dyDescent="0.3">
      <c r="A63" s="105"/>
      <c r="B63" s="68" t="s">
        <v>188</v>
      </c>
      <c r="C63" s="18"/>
      <c r="D63" s="18"/>
      <c r="E63" s="19" t="s">
        <v>189</v>
      </c>
      <c r="F63" s="89" t="s">
        <v>190</v>
      </c>
      <c r="G63" s="93">
        <v>4.2099999999999991</v>
      </c>
      <c r="H63" s="25">
        <v>0</v>
      </c>
      <c r="I63" s="28">
        <v>1</v>
      </c>
      <c r="J63" s="17">
        <v>1100</v>
      </c>
    </row>
    <row r="64" spans="1:10" x14ac:dyDescent="0.3">
      <c r="A64" s="105"/>
      <c r="B64" s="68" t="s">
        <v>191</v>
      </c>
      <c r="C64" s="18"/>
      <c r="D64" s="18"/>
      <c r="E64" s="19" t="s">
        <v>192</v>
      </c>
      <c r="F64" s="89" t="s">
        <v>193</v>
      </c>
      <c r="G64" s="93">
        <v>3.58</v>
      </c>
      <c r="H64" s="25">
        <v>1</v>
      </c>
      <c r="I64" s="28">
        <v>1</v>
      </c>
      <c r="J64" s="17">
        <v>2123</v>
      </c>
    </row>
    <row r="65" spans="1:10" x14ac:dyDescent="0.3">
      <c r="A65" s="105"/>
      <c r="B65" s="68" t="s">
        <v>194</v>
      </c>
      <c r="C65" s="18"/>
      <c r="D65" s="18"/>
      <c r="E65" s="19" t="s">
        <v>195</v>
      </c>
      <c r="F65" s="89" t="s">
        <v>196</v>
      </c>
      <c r="G65" s="93">
        <v>0.15</v>
      </c>
      <c r="H65" s="25">
        <v>8</v>
      </c>
      <c r="I65" s="28">
        <v>8</v>
      </c>
      <c r="J65" s="17">
        <v>14532</v>
      </c>
    </row>
    <row r="66" spans="1:10" x14ac:dyDescent="0.3">
      <c r="A66" s="105"/>
      <c r="B66" s="68" t="s">
        <v>197</v>
      </c>
      <c r="C66" s="18"/>
      <c r="D66" s="18"/>
      <c r="E66" s="19" t="s">
        <v>198</v>
      </c>
      <c r="F66" s="89" t="s">
        <v>199</v>
      </c>
      <c r="G66" s="93">
        <v>0.13799999999999998</v>
      </c>
      <c r="H66" s="25">
        <v>2</v>
      </c>
      <c r="I66" s="28">
        <v>1</v>
      </c>
      <c r="J66" s="17">
        <v>2678</v>
      </c>
    </row>
    <row r="67" spans="1:10" x14ac:dyDescent="0.3">
      <c r="A67" s="105"/>
      <c r="B67" s="68" t="s">
        <v>200</v>
      </c>
      <c r="C67" s="18"/>
      <c r="D67" s="18"/>
      <c r="E67" s="19" t="s">
        <v>201</v>
      </c>
      <c r="F67" s="89" t="s">
        <v>202</v>
      </c>
      <c r="G67" s="93">
        <v>0.161</v>
      </c>
      <c r="H67" s="25">
        <v>2</v>
      </c>
      <c r="I67" s="28">
        <v>2</v>
      </c>
      <c r="J67" s="17">
        <v>3038</v>
      </c>
    </row>
    <row r="68" spans="1:10" x14ac:dyDescent="0.3">
      <c r="A68" s="105"/>
      <c r="B68" s="68" t="s">
        <v>203</v>
      </c>
      <c r="C68" s="18"/>
      <c r="D68" s="18"/>
      <c r="E68" s="19" t="s">
        <v>204</v>
      </c>
      <c r="F68" s="89" t="s">
        <v>205</v>
      </c>
      <c r="G68" s="93">
        <v>0.02</v>
      </c>
      <c r="H68" s="25">
        <v>2</v>
      </c>
      <c r="I68" s="28">
        <v>2</v>
      </c>
      <c r="J68" s="17">
        <v>8078</v>
      </c>
    </row>
    <row r="69" spans="1:10" x14ac:dyDescent="0.3">
      <c r="A69" s="105"/>
      <c r="B69" s="68" t="s">
        <v>206</v>
      </c>
      <c r="C69" s="18"/>
      <c r="D69" s="18"/>
      <c r="E69" s="19" t="s">
        <v>207</v>
      </c>
      <c r="F69" s="89" t="s">
        <v>208</v>
      </c>
      <c r="G69" s="93">
        <v>6.8999999999999992E-2</v>
      </c>
      <c r="H69" s="25">
        <v>4</v>
      </c>
      <c r="I69" s="28">
        <v>4</v>
      </c>
      <c r="J69" s="17">
        <v>8176</v>
      </c>
    </row>
    <row r="70" spans="1:10" x14ac:dyDescent="0.3">
      <c r="A70" s="105"/>
      <c r="B70" s="68" t="s">
        <v>209</v>
      </c>
      <c r="C70" s="18"/>
      <c r="D70" s="18"/>
      <c r="E70" s="19" t="s">
        <v>210</v>
      </c>
      <c r="F70" s="89" t="s">
        <v>211</v>
      </c>
      <c r="G70" s="93">
        <v>8.0500000000000002E-2</v>
      </c>
      <c r="H70" s="25">
        <v>2</v>
      </c>
      <c r="I70" s="28">
        <v>2</v>
      </c>
      <c r="J70" s="17">
        <v>3048</v>
      </c>
    </row>
    <row r="71" spans="1:10" x14ac:dyDescent="0.3">
      <c r="A71" s="105"/>
      <c r="B71" s="68" t="s">
        <v>212</v>
      </c>
      <c r="C71" s="18"/>
      <c r="D71" s="18"/>
      <c r="E71" s="19" t="s">
        <v>213</v>
      </c>
      <c r="F71" s="89" t="s">
        <v>214</v>
      </c>
      <c r="G71" s="93">
        <v>2.3E-3</v>
      </c>
      <c r="H71" s="25">
        <v>110</v>
      </c>
      <c r="I71" s="28">
        <v>110</v>
      </c>
      <c r="J71" s="17">
        <v>170102</v>
      </c>
    </row>
    <row r="72" spans="1:10" x14ac:dyDescent="0.3">
      <c r="A72" s="105"/>
      <c r="B72" s="68" t="s">
        <v>215</v>
      </c>
      <c r="C72" s="18"/>
      <c r="D72" s="18"/>
      <c r="E72" s="19" t="s">
        <v>216</v>
      </c>
      <c r="F72" s="89" t="s">
        <v>217</v>
      </c>
      <c r="G72" s="93">
        <v>0.03</v>
      </c>
      <c r="H72" s="25">
        <v>0</v>
      </c>
      <c r="I72" s="28">
        <v>1</v>
      </c>
      <c r="J72" s="17">
        <v>2381</v>
      </c>
    </row>
    <row r="73" spans="1:10" x14ac:dyDescent="0.3">
      <c r="A73" s="105"/>
      <c r="B73" s="68" t="s">
        <v>218</v>
      </c>
      <c r="C73" s="18"/>
      <c r="D73" s="18"/>
      <c r="E73" s="19" t="s">
        <v>219</v>
      </c>
      <c r="F73" s="89" t="s">
        <v>220</v>
      </c>
      <c r="G73" s="93">
        <v>7.0000000000000007E-2</v>
      </c>
      <c r="H73" s="25">
        <v>1</v>
      </c>
      <c r="I73" s="28">
        <v>1</v>
      </c>
      <c r="J73" s="17">
        <v>2037</v>
      </c>
    </row>
    <row r="74" spans="1:10" x14ac:dyDescent="0.3">
      <c r="A74" s="105"/>
      <c r="B74" s="68" t="s">
        <v>221</v>
      </c>
      <c r="C74" s="18"/>
      <c r="D74" s="18"/>
      <c r="E74" s="19" t="s">
        <v>222</v>
      </c>
      <c r="F74" s="89" t="s">
        <v>223</v>
      </c>
      <c r="G74" s="93">
        <v>0.14029999999999998</v>
      </c>
      <c r="H74" s="25">
        <v>4</v>
      </c>
      <c r="I74" s="28">
        <v>4</v>
      </c>
      <c r="J74" s="17">
        <v>6088</v>
      </c>
    </row>
    <row r="75" spans="1:10" x14ac:dyDescent="0.3">
      <c r="A75" s="105"/>
      <c r="B75" s="68" t="s">
        <v>224</v>
      </c>
      <c r="C75" s="18"/>
      <c r="D75" s="18"/>
      <c r="E75" s="19" t="s">
        <v>225</v>
      </c>
      <c r="F75" s="89" t="s">
        <v>226</v>
      </c>
      <c r="G75" s="93">
        <v>3.4499999999999996E-2</v>
      </c>
      <c r="H75" s="25">
        <v>8</v>
      </c>
      <c r="I75" s="28">
        <v>8</v>
      </c>
      <c r="J75" s="17">
        <v>13924</v>
      </c>
    </row>
    <row r="76" spans="1:10" x14ac:dyDescent="0.3">
      <c r="A76" s="105"/>
      <c r="B76" s="68" t="s">
        <v>227</v>
      </c>
      <c r="C76" s="18"/>
      <c r="D76" s="18"/>
      <c r="E76" s="19" t="s">
        <v>228</v>
      </c>
      <c r="F76" s="89" t="s">
        <v>229</v>
      </c>
      <c r="G76" s="96">
        <v>2.3E-3</v>
      </c>
      <c r="H76" s="25">
        <v>0</v>
      </c>
      <c r="I76" s="28">
        <v>2</v>
      </c>
      <c r="J76" s="17">
        <v>10322</v>
      </c>
    </row>
    <row r="77" spans="1:10" x14ac:dyDescent="0.3">
      <c r="A77" s="105"/>
      <c r="B77" s="68" t="s">
        <v>230</v>
      </c>
      <c r="C77" s="18"/>
      <c r="D77" s="18"/>
      <c r="E77" s="19" t="s">
        <v>231</v>
      </c>
      <c r="F77" s="89" t="s">
        <v>232</v>
      </c>
      <c r="G77" s="93">
        <v>0.03</v>
      </c>
      <c r="H77" s="25">
        <v>1</v>
      </c>
      <c r="I77" s="28">
        <v>0</v>
      </c>
      <c r="J77" s="17">
        <v>3398</v>
      </c>
    </row>
    <row r="78" spans="1:10" x14ac:dyDescent="0.3">
      <c r="A78" s="105"/>
      <c r="B78" s="68" t="s">
        <v>233</v>
      </c>
      <c r="C78" s="18"/>
      <c r="D78" s="18"/>
      <c r="E78" s="19" t="s">
        <v>234</v>
      </c>
      <c r="F78" s="89" t="s">
        <v>235</v>
      </c>
      <c r="G78" s="93">
        <v>3.4499999999999996E-2</v>
      </c>
      <c r="H78" s="25">
        <v>2</v>
      </c>
      <c r="I78" s="28">
        <v>0</v>
      </c>
      <c r="J78" s="17">
        <v>2546</v>
      </c>
    </row>
    <row r="79" spans="1:10" x14ac:dyDescent="0.3">
      <c r="A79" s="105"/>
      <c r="B79" s="68" t="s">
        <v>236</v>
      </c>
      <c r="C79" s="18"/>
      <c r="D79" s="18"/>
      <c r="E79" s="19" t="s">
        <v>237</v>
      </c>
      <c r="F79" s="89" t="s">
        <v>238</v>
      </c>
      <c r="G79" s="97">
        <v>0.20699999999999999</v>
      </c>
      <c r="H79" s="25">
        <v>0</v>
      </c>
      <c r="I79" s="28">
        <v>2</v>
      </c>
      <c r="J79" s="17">
        <v>11131</v>
      </c>
    </row>
    <row r="80" spans="1:10" x14ac:dyDescent="0.3">
      <c r="A80" s="105"/>
      <c r="B80" s="68" t="s">
        <v>239</v>
      </c>
      <c r="C80" s="18"/>
      <c r="D80" s="18"/>
      <c r="E80" s="19" t="s">
        <v>240</v>
      </c>
      <c r="F80" s="89" t="s">
        <v>241</v>
      </c>
      <c r="G80" s="93">
        <v>0.2</v>
      </c>
      <c r="H80" s="25">
        <v>1</v>
      </c>
      <c r="I80" s="28">
        <v>1</v>
      </c>
      <c r="J80" s="17">
        <v>8545</v>
      </c>
    </row>
    <row r="81" spans="1:10" x14ac:dyDescent="0.3">
      <c r="A81" s="105"/>
      <c r="B81" s="68" t="s">
        <v>242</v>
      </c>
      <c r="C81" s="18"/>
      <c r="D81" s="18"/>
      <c r="E81" s="19" t="s">
        <v>243</v>
      </c>
      <c r="F81" s="89" t="s">
        <v>241</v>
      </c>
      <c r="G81" s="93">
        <v>0.26</v>
      </c>
      <c r="H81" s="25">
        <v>1</v>
      </c>
      <c r="I81" s="28">
        <v>1</v>
      </c>
      <c r="J81" s="17">
        <v>8545</v>
      </c>
    </row>
    <row r="82" spans="1:10" x14ac:dyDescent="0.3">
      <c r="A82" s="105"/>
      <c r="B82" s="68" t="s">
        <v>244</v>
      </c>
      <c r="C82" s="18"/>
      <c r="D82" s="18"/>
      <c r="E82" s="19" t="s">
        <v>245</v>
      </c>
      <c r="F82" s="89" t="s">
        <v>241</v>
      </c>
      <c r="G82" s="93">
        <v>0.33</v>
      </c>
      <c r="H82" s="25">
        <v>1</v>
      </c>
      <c r="I82" s="28">
        <v>1</v>
      </c>
      <c r="J82" s="17">
        <v>8545</v>
      </c>
    </row>
    <row r="83" spans="1:10" x14ac:dyDescent="0.3">
      <c r="A83" s="105"/>
      <c r="B83" s="68" t="s">
        <v>246</v>
      </c>
      <c r="C83" s="18"/>
      <c r="D83" s="18"/>
      <c r="E83" s="19" t="s">
        <v>247</v>
      </c>
      <c r="F83" s="89" t="s">
        <v>248</v>
      </c>
      <c r="G83" s="93">
        <v>4.3959999999999999</v>
      </c>
      <c r="H83" s="25">
        <v>1</v>
      </c>
      <c r="I83" s="28">
        <v>1</v>
      </c>
      <c r="J83" s="17">
        <v>4696</v>
      </c>
    </row>
    <row r="84" spans="1:10" x14ac:dyDescent="0.3">
      <c r="A84" s="105"/>
      <c r="B84" s="68" t="s">
        <v>249</v>
      </c>
      <c r="C84" s="18"/>
      <c r="D84" s="18"/>
      <c r="E84" s="19" t="s">
        <v>277</v>
      </c>
      <c r="F84" s="89" t="s">
        <v>250</v>
      </c>
      <c r="G84" s="93">
        <v>12.1</v>
      </c>
      <c r="H84" s="25">
        <v>1</v>
      </c>
      <c r="I84" s="28">
        <v>1</v>
      </c>
      <c r="J84" s="17">
        <v>2018</v>
      </c>
    </row>
    <row r="85" spans="1:10" x14ac:dyDescent="0.3">
      <c r="A85" s="105"/>
      <c r="B85" s="68" t="s">
        <v>251</v>
      </c>
      <c r="C85" s="18"/>
      <c r="D85" s="18"/>
      <c r="E85" s="19" t="s">
        <v>252</v>
      </c>
      <c r="F85" s="89" t="s">
        <v>253</v>
      </c>
      <c r="G85" s="93">
        <v>12.1</v>
      </c>
      <c r="H85" s="25">
        <v>1</v>
      </c>
      <c r="I85" s="28">
        <v>1</v>
      </c>
      <c r="J85" s="17">
        <v>2009</v>
      </c>
    </row>
    <row r="86" spans="1:10" x14ac:dyDescent="0.3">
      <c r="A86" s="105"/>
      <c r="B86" s="68" t="s">
        <v>254</v>
      </c>
      <c r="C86" s="18"/>
      <c r="D86" s="18"/>
      <c r="E86" s="19" t="s">
        <v>255</v>
      </c>
      <c r="F86" s="89" t="s">
        <v>256</v>
      </c>
      <c r="G86" s="93">
        <v>7.2</v>
      </c>
      <c r="H86" s="25">
        <v>1</v>
      </c>
      <c r="I86" s="28">
        <v>1</v>
      </c>
      <c r="J86" s="17">
        <v>1375</v>
      </c>
    </row>
    <row r="87" spans="1:10" x14ac:dyDescent="0.3">
      <c r="A87" s="105"/>
      <c r="B87" s="68" t="s">
        <v>257</v>
      </c>
      <c r="C87" s="18"/>
      <c r="D87" s="18"/>
      <c r="E87" s="19" t="s">
        <v>258</v>
      </c>
      <c r="F87" s="89" t="s">
        <v>259</v>
      </c>
      <c r="G87" s="93">
        <v>1.008E-2</v>
      </c>
      <c r="H87" s="25">
        <v>1</v>
      </c>
      <c r="I87" s="28">
        <v>1</v>
      </c>
      <c r="J87" s="17">
        <v>6356</v>
      </c>
    </row>
    <row r="88" spans="1:10" x14ac:dyDescent="0.3">
      <c r="A88" s="105"/>
      <c r="B88" s="68" t="s">
        <v>260</v>
      </c>
      <c r="C88" s="18"/>
      <c r="D88" s="18"/>
      <c r="E88" s="19" t="s">
        <v>261</v>
      </c>
      <c r="F88" s="89" t="s">
        <v>262</v>
      </c>
      <c r="G88" s="93">
        <v>7.2779999999999997E-2</v>
      </c>
      <c r="H88" s="25">
        <v>1</v>
      </c>
      <c r="I88" s="28">
        <v>1</v>
      </c>
      <c r="J88" s="17">
        <v>1507</v>
      </c>
    </row>
    <row r="89" spans="1:10" ht="15" thickBot="1" x14ac:dyDescent="0.35">
      <c r="A89" s="105"/>
      <c r="B89" s="52">
        <v>4370075</v>
      </c>
      <c r="C89" s="56"/>
      <c r="D89" s="56"/>
      <c r="E89" s="53" t="s">
        <v>263</v>
      </c>
      <c r="F89" s="90" t="s">
        <v>264</v>
      </c>
      <c r="G89" s="93">
        <v>1.5</v>
      </c>
      <c r="H89" s="91">
        <v>1</v>
      </c>
      <c r="I89" s="30">
        <v>1</v>
      </c>
      <c r="J89" s="17">
        <v>1437</v>
      </c>
    </row>
  </sheetData>
  <autoFilter ref="B2:J90" xr:uid="{85681FB7-1DD8-4D3E-BD95-790B1D99C613}">
    <filterColumn colId="0" showButton="0"/>
    <filterColumn colId="1" showButton="0"/>
  </autoFilter>
  <mergeCells count="4">
    <mergeCell ref="B1:F1"/>
    <mergeCell ref="B2:D2"/>
    <mergeCell ref="A2:A89"/>
    <mergeCell ref="H1:I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876D-2FE9-45A8-8BAE-E3524A797A27}">
  <dimension ref="A1:M5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defaultRowHeight="14.4" x14ac:dyDescent="0.3"/>
  <cols>
    <col min="1" max="1" width="3.33203125" customWidth="1"/>
    <col min="2" max="2" width="15.5546875" bestFit="1" customWidth="1"/>
    <col min="3" max="3" width="48.109375" bestFit="1" customWidth="1"/>
    <col min="4" max="4" width="21" bestFit="1" customWidth="1"/>
    <col min="5" max="5" width="9.33203125" bestFit="1" customWidth="1"/>
    <col min="6" max="8" width="11.6640625" customWidth="1"/>
    <col min="9" max="9" width="8.5546875" hidden="1" customWidth="1"/>
    <col min="10" max="10" width="9.33203125" hidden="1" customWidth="1"/>
    <col min="11" max="13" width="0" hidden="1" customWidth="1"/>
  </cols>
  <sheetData>
    <row r="1" spans="1:13" ht="15" thickBot="1" x14ac:dyDescent="0.35">
      <c r="A1" s="48"/>
      <c r="B1" s="110" t="s">
        <v>376</v>
      </c>
      <c r="C1" s="108"/>
      <c r="D1" s="109"/>
      <c r="E1" s="82"/>
      <c r="F1" s="110" t="s">
        <v>375</v>
      </c>
      <c r="G1" s="109"/>
      <c r="H1" s="82"/>
      <c r="I1" s="106" t="s">
        <v>379</v>
      </c>
      <c r="J1" s="107"/>
      <c r="K1" s="107"/>
      <c r="L1" s="107"/>
      <c r="M1" s="107"/>
    </row>
    <row r="2" spans="1:13" ht="24.75" customHeight="1" x14ac:dyDescent="0.3">
      <c r="A2" s="111" t="s">
        <v>337</v>
      </c>
      <c r="B2" s="37" t="s">
        <v>265</v>
      </c>
      <c r="C2" s="38" t="s">
        <v>266</v>
      </c>
      <c r="D2" s="39" t="s">
        <v>267</v>
      </c>
      <c r="E2" s="94" t="s">
        <v>388</v>
      </c>
      <c r="F2" s="37" t="s">
        <v>371</v>
      </c>
      <c r="G2" s="39" t="s">
        <v>372</v>
      </c>
      <c r="H2" s="35" t="s">
        <v>278</v>
      </c>
      <c r="I2" s="83" t="s">
        <v>384</v>
      </c>
      <c r="J2" s="83" t="s">
        <v>383</v>
      </c>
      <c r="K2" s="83" t="s">
        <v>382</v>
      </c>
      <c r="L2" s="83" t="s">
        <v>382</v>
      </c>
      <c r="M2" s="83" t="s">
        <v>385</v>
      </c>
    </row>
    <row r="3" spans="1:13" x14ac:dyDescent="0.3">
      <c r="A3" s="112"/>
      <c r="B3" s="40" t="s">
        <v>280</v>
      </c>
      <c r="C3" s="15" t="s">
        <v>389</v>
      </c>
      <c r="D3" s="71" t="s">
        <v>390</v>
      </c>
      <c r="E3" s="95">
        <v>27.93</v>
      </c>
      <c r="F3" s="27">
        <v>1</v>
      </c>
      <c r="G3" s="28">
        <v>0</v>
      </c>
      <c r="H3" s="17">
        <v>583</v>
      </c>
      <c r="I3" s="27">
        <f>IFERROR($F3*48,0)</f>
        <v>48</v>
      </c>
      <c r="J3" s="27">
        <f>IFERROR($G3*48,0)</f>
        <v>0</v>
      </c>
      <c r="K3" s="27">
        <f>IFERROR($G3*96,0)</f>
        <v>0</v>
      </c>
      <c r="L3" s="27">
        <f>IFERROR($G3*96,0)</f>
        <v>0</v>
      </c>
      <c r="M3" s="27">
        <f>IFERROR($F3*96,0)</f>
        <v>96</v>
      </c>
    </row>
    <row r="4" spans="1:13" x14ac:dyDescent="0.3">
      <c r="A4" s="112"/>
      <c r="B4" s="40" t="s">
        <v>281</v>
      </c>
      <c r="C4" s="15" t="s">
        <v>391</v>
      </c>
      <c r="D4" s="71" t="s">
        <v>392</v>
      </c>
      <c r="E4" s="95">
        <v>27.93</v>
      </c>
      <c r="F4" s="27">
        <v>1</v>
      </c>
      <c r="G4" s="28">
        <v>0</v>
      </c>
      <c r="H4" s="17">
        <v>584</v>
      </c>
      <c r="I4" s="27">
        <f t="shared" ref="I4:I16" si="0">IFERROR($F4*48,0)</f>
        <v>48</v>
      </c>
      <c r="J4" s="27">
        <f t="shared" ref="J4:J59" si="1">IFERROR($G4*48,0)</f>
        <v>0</v>
      </c>
      <c r="K4" s="27">
        <f t="shared" ref="K4:L59" si="2">IFERROR($G4*96,0)</f>
        <v>0</v>
      </c>
      <c r="L4" s="27">
        <f t="shared" si="2"/>
        <v>0</v>
      </c>
      <c r="M4" s="27">
        <f t="shared" ref="M4:M59" si="3">IFERROR($F4*96,0)</f>
        <v>96</v>
      </c>
    </row>
    <row r="5" spans="1:13" x14ac:dyDescent="0.3">
      <c r="A5" s="112"/>
      <c r="B5" s="40" t="s">
        <v>282</v>
      </c>
      <c r="C5" s="15" t="s">
        <v>393</v>
      </c>
      <c r="D5" s="71" t="s">
        <v>394</v>
      </c>
      <c r="E5" s="95">
        <v>48.45</v>
      </c>
      <c r="F5" s="27">
        <v>0</v>
      </c>
      <c r="G5" s="28">
        <v>1</v>
      </c>
      <c r="H5" s="17">
        <v>710</v>
      </c>
      <c r="I5" s="27">
        <f t="shared" si="0"/>
        <v>0</v>
      </c>
      <c r="J5" s="27">
        <f t="shared" si="1"/>
        <v>48</v>
      </c>
      <c r="K5" s="27">
        <f t="shared" si="2"/>
        <v>96</v>
      </c>
      <c r="L5" s="27">
        <f t="shared" si="2"/>
        <v>96</v>
      </c>
      <c r="M5" s="27">
        <f t="shared" si="3"/>
        <v>0</v>
      </c>
    </row>
    <row r="6" spans="1:13" x14ac:dyDescent="0.3">
      <c r="A6" s="112"/>
      <c r="B6" s="40" t="s">
        <v>283</v>
      </c>
      <c r="C6" s="15" t="s">
        <v>395</v>
      </c>
      <c r="D6" s="71" t="s">
        <v>396</v>
      </c>
      <c r="E6" s="95">
        <v>48.45</v>
      </c>
      <c r="F6" s="27">
        <v>0</v>
      </c>
      <c r="G6" s="28">
        <v>1</v>
      </c>
      <c r="H6" s="17">
        <v>712</v>
      </c>
      <c r="I6" s="27">
        <f t="shared" si="0"/>
        <v>0</v>
      </c>
      <c r="J6" s="27">
        <f>IFERROR($G6*48,0)</f>
        <v>48</v>
      </c>
      <c r="K6" s="27">
        <f t="shared" si="2"/>
        <v>96</v>
      </c>
      <c r="L6" s="27">
        <f t="shared" si="2"/>
        <v>96</v>
      </c>
      <c r="M6" s="27">
        <f t="shared" si="3"/>
        <v>0</v>
      </c>
    </row>
    <row r="7" spans="1:13" hidden="1" x14ac:dyDescent="0.3">
      <c r="A7" s="112"/>
      <c r="B7" s="41" t="s">
        <v>284</v>
      </c>
      <c r="C7" s="16" t="s">
        <v>397</v>
      </c>
      <c r="D7" s="72" t="s">
        <v>398</v>
      </c>
      <c r="E7" s="95">
        <v>0</v>
      </c>
      <c r="F7" s="31">
        <v>1</v>
      </c>
      <c r="G7" s="32">
        <v>0</v>
      </c>
      <c r="H7" s="17">
        <v>-411</v>
      </c>
      <c r="I7" s="27">
        <f t="shared" si="0"/>
        <v>48</v>
      </c>
      <c r="J7" s="27">
        <f t="shared" si="1"/>
        <v>0</v>
      </c>
      <c r="K7" s="27">
        <f t="shared" si="2"/>
        <v>0</v>
      </c>
      <c r="L7" s="27">
        <f t="shared" si="2"/>
        <v>0</v>
      </c>
      <c r="M7" s="27">
        <f t="shared" si="3"/>
        <v>96</v>
      </c>
    </row>
    <row r="8" spans="1:13" hidden="1" x14ac:dyDescent="0.3">
      <c r="A8" s="112"/>
      <c r="B8" s="41" t="s">
        <v>285</v>
      </c>
      <c r="C8" s="16" t="s">
        <v>399</v>
      </c>
      <c r="D8" s="72" t="s">
        <v>400</v>
      </c>
      <c r="E8" s="95">
        <v>0</v>
      </c>
      <c r="F8" s="31">
        <v>1</v>
      </c>
      <c r="G8" s="32">
        <v>0</v>
      </c>
      <c r="H8" s="17">
        <v>-411</v>
      </c>
      <c r="I8" s="27">
        <f t="shared" si="0"/>
        <v>48</v>
      </c>
      <c r="J8" s="27">
        <f t="shared" si="1"/>
        <v>0</v>
      </c>
      <c r="K8" s="27">
        <f t="shared" si="2"/>
        <v>0</v>
      </c>
      <c r="L8" s="27">
        <f t="shared" si="2"/>
        <v>0</v>
      </c>
      <c r="M8" s="27">
        <f t="shared" si="3"/>
        <v>96</v>
      </c>
    </row>
    <row r="9" spans="1:13" hidden="1" x14ac:dyDescent="0.3">
      <c r="A9" s="112"/>
      <c r="B9" s="41" t="s">
        <v>286</v>
      </c>
      <c r="C9" s="16" t="s">
        <v>401</v>
      </c>
      <c r="D9" s="72" t="s">
        <v>402</v>
      </c>
      <c r="E9" s="95">
        <v>0</v>
      </c>
      <c r="F9" s="31">
        <v>1</v>
      </c>
      <c r="G9" s="32">
        <v>0</v>
      </c>
      <c r="H9" s="17">
        <v>-412</v>
      </c>
      <c r="I9" s="27">
        <f t="shared" si="0"/>
        <v>48</v>
      </c>
      <c r="J9" s="27">
        <f t="shared" si="1"/>
        <v>0</v>
      </c>
      <c r="K9" s="27">
        <f t="shared" si="2"/>
        <v>0</v>
      </c>
      <c r="L9" s="27">
        <f t="shared" si="2"/>
        <v>0</v>
      </c>
      <c r="M9" s="27">
        <f t="shared" si="3"/>
        <v>96</v>
      </c>
    </row>
    <row r="10" spans="1:13" hidden="1" x14ac:dyDescent="0.3">
      <c r="A10" s="112"/>
      <c r="B10" s="41" t="s">
        <v>287</v>
      </c>
      <c r="C10" s="16" t="s">
        <v>403</v>
      </c>
      <c r="D10" s="72" t="s">
        <v>404</v>
      </c>
      <c r="E10" s="95">
        <v>0</v>
      </c>
      <c r="F10" s="31">
        <v>1</v>
      </c>
      <c r="G10" s="32">
        <v>0</v>
      </c>
      <c r="H10" s="17">
        <v>-413</v>
      </c>
      <c r="I10" s="27">
        <f t="shared" si="0"/>
        <v>48</v>
      </c>
      <c r="J10" s="27">
        <f t="shared" si="1"/>
        <v>0</v>
      </c>
      <c r="K10" s="27">
        <f t="shared" si="2"/>
        <v>0</v>
      </c>
      <c r="L10" s="27">
        <f t="shared" si="2"/>
        <v>0</v>
      </c>
      <c r="M10" s="27">
        <f t="shared" si="3"/>
        <v>96</v>
      </c>
    </row>
    <row r="11" spans="1:13" hidden="1" x14ac:dyDescent="0.3">
      <c r="A11" s="112"/>
      <c r="B11" s="41" t="s">
        <v>288</v>
      </c>
      <c r="C11" s="16" t="s">
        <v>405</v>
      </c>
      <c r="D11" s="72" t="s">
        <v>406</v>
      </c>
      <c r="E11" s="95">
        <v>0</v>
      </c>
      <c r="F11" s="31">
        <v>1</v>
      </c>
      <c r="G11" s="32">
        <v>0</v>
      </c>
      <c r="H11" s="17">
        <v>-413</v>
      </c>
      <c r="I11" s="27">
        <f t="shared" si="0"/>
        <v>48</v>
      </c>
      <c r="J11" s="27">
        <f t="shared" si="1"/>
        <v>0</v>
      </c>
      <c r="K11" s="27">
        <f t="shared" si="2"/>
        <v>0</v>
      </c>
      <c r="L11" s="27">
        <f t="shared" si="2"/>
        <v>0</v>
      </c>
      <c r="M11" s="27">
        <f t="shared" si="3"/>
        <v>96</v>
      </c>
    </row>
    <row r="12" spans="1:13" hidden="1" x14ac:dyDescent="0.3">
      <c r="A12" s="112"/>
      <c r="B12" s="41" t="s">
        <v>289</v>
      </c>
      <c r="C12" s="16" t="s">
        <v>407</v>
      </c>
      <c r="D12" s="72" t="s">
        <v>408</v>
      </c>
      <c r="E12" s="95">
        <v>0</v>
      </c>
      <c r="F12" s="31">
        <v>0</v>
      </c>
      <c r="G12" s="32">
        <v>1</v>
      </c>
      <c r="H12" s="17">
        <v>-720</v>
      </c>
      <c r="I12" s="27">
        <f t="shared" si="0"/>
        <v>0</v>
      </c>
      <c r="J12" s="27">
        <f t="shared" si="1"/>
        <v>48</v>
      </c>
      <c r="K12" s="27">
        <f t="shared" si="2"/>
        <v>96</v>
      </c>
      <c r="L12" s="27">
        <f t="shared" si="2"/>
        <v>96</v>
      </c>
      <c r="M12" s="27">
        <f t="shared" si="3"/>
        <v>0</v>
      </c>
    </row>
    <row r="13" spans="1:13" hidden="1" x14ac:dyDescent="0.3">
      <c r="A13" s="112"/>
      <c r="B13" s="41" t="s">
        <v>290</v>
      </c>
      <c r="C13" s="16" t="s">
        <v>409</v>
      </c>
      <c r="D13" s="72" t="s">
        <v>410</v>
      </c>
      <c r="E13" s="95">
        <v>0</v>
      </c>
      <c r="F13" s="31">
        <v>0</v>
      </c>
      <c r="G13" s="32">
        <v>1</v>
      </c>
      <c r="H13" s="17">
        <v>-720</v>
      </c>
      <c r="I13" s="27">
        <f t="shared" si="0"/>
        <v>0</v>
      </c>
      <c r="J13" s="27">
        <f t="shared" si="1"/>
        <v>48</v>
      </c>
      <c r="K13" s="27">
        <f t="shared" si="2"/>
        <v>96</v>
      </c>
      <c r="L13" s="27">
        <f t="shared" si="2"/>
        <v>96</v>
      </c>
      <c r="M13" s="27">
        <f t="shared" si="3"/>
        <v>0</v>
      </c>
    </row>
    <row r="14" spans="1:13" hidden="1" x14ac:dyDescent="0.3">
      <c r="A14" s="112"/>
      <c r="B14" s="41" t="s">
        <v>291</v>
      </c>
      <c r="C14" s="16" t="s">
        <v>411</v>
      </c>
      <c r="D14" s="72" t="s">
        <v>412</v>
      </c>
      <c r="E14" s="95">
        <v>0</v>
      </c>
      <c r="F14" s="31">
        <v>0</v>
      </c>
      <c r="G14" s="32">
        <v>1</v>
      </c>
      <c r="H14" s="17">
        <v>-720</v>
      </c>
      <c r="I14" s="27">
        <f t="shared" si="0"/>
        <v>0</v>
      </c>
      <c r="J14" s="27">
        <f t="shared" si="1"/>
        <v>48</v>
      </c>
      <c r="K14" s="27">
        <f t="shared" si="2"/>
        <v>96</v>
      </c>
      <c r="L14" s="27">
        <f t="shared" si="2"/>
        <v>96</v>
      </c>
      <c r="M14" s="27">
        <f t="shared" si="3"/>
        <v>0</v>
      </c>
    </row>
    <row r="15" spans="1:13" hidden="1" x14ac:dyDescent="0.3">
      <c r="A15" s="112"/>
      <c r="B15" s="41" t="s">
        <v>292</v>
      </c>
      <c r="C15" s="16" t="s">
        <v>413</v>
      </c>
      <c r="D15" s="72" t="s">
        <v>414</v>
      </c>
      <c r="E15" s="95">
        <v>0</v>
      </c>
      <c r="F15" s="31">
        <v>0</v>
      </c>
      <c r="G15" s="32">
        <v>1</v>
      </c>
      <c r="H15" s="17">
        <v>-719</v>
      </c>
      <c r="I15" s="27">
        <f t="shared" si="0"/>
        <v>0</v>
      </c>
      <c r="J15" s="27">
        <f t="shared" si="1"/>
        <v>48</v>
      </c>
      <c r="K15" s="27">
        <f t="shared" si="2"/>
        <v>96</v>
      </c>
      <c r="L15" s="27">
        <f t="shared" si="2"/>
        <v>96</v>
      </c>
      <c r="M15" s="27">
        <f t="shared" si="3"/>
        <v>0</v>
      </c>
    </row>
    <row r="16" spans="1:13" hidden="1" x14ac:dyDescent="0.3">
      <c r="A16" s="112"/>
      <c r="B16" s="41" t="s">
        <v>293</v>
      </c>
      <c r="C16" s="16" t="s">
        <v>415</v>
      </c>
      <c r="D16" s="72" t="s">
        <v>416</v>
      </c>
      <c r="E16" s="95">
        <v>0</v>
      </c>
      <c r="F16" s="31">
        <v>0</v>
      </c>
      <c r="G16" s="32">
        <v>1</v>
      </c>
      <c r="H16" s="17">
        <v>-720</v>
      </c>
      <c r="I16" s="27">
        <f t="shared" si="0"/>
        <v>0</v>
      </c>
      <c r="J16" s="27">
        <f t="shared" si="1"/>
        <v>48</v>
      </c>
      <c r="K16" s="27">
        <f t="shared" si="2"/>
        <v>96</v>
      </c>
      <c r="L16" s="27">
        <f t="shared" si="2"/>
        <v>96</v>
      </c>
      <c r="M16" s="27">
        <f t="shared" si="3"/>
        <v>0</v>
      </c>
    </row>
    <row r="17" spans="1:13" x14ac:dyDescent="0.3">
      <c r="A17" s="112"/>
      <c r="B17" s="40" t="s">
        <v>294</v>
      </c>
      <c r="C17" s="15" t="s">
        <v>417</v>
      </c>
      <c r="D17" s="71" t="s">
        <v>418</v>
      </c>
      <c r="E17" s="95">
        <v>7.0000000000000007E-2</v>
      </c>
      <c r="F17" s="27">
        <v>8</v>
      </c>
      <c r="G17" s="28">
        <v>8</v>
      </c>
      <c r="H17" s="17">
        <v>134400</v>
      </c>
      <c r="I17" s="84">
        <v>0</v>
      </c>
      <c r="J17" s="27">
        <f t="shared" si="1"/>
        <v>384</v>
      </c>
      <c r="K17" s="27">
        <f t="shared" si="2"/>
        <v>768</v>
      </c>
      <c r="L17" s="27">
        <f t="shared" si="2"/>
        <v>768</v>
      </c>
      <c r="M17" s="27">
        <f t="shared" si="3"/>
        <v>768</v>
      </c>
    </row>
    <row r="18" spans="1:13" x14ac:dyDescent="0.3">
      <c r="A18" s="112"/>
      <c r="B18" s="40" t="s">
        <v>295</v>
      </c>
      <c r="C18" s="15" t="s">
        <v>419</v>
      </c>
      <c r="D18" s="71" t="s">
        <v>420</v>
      </c>
      <c r="E18" s="95">
        <v>7.0000000000000007E-2</v>
      </c>
      <c r="F18" s="27">
        <v>2</v>
      </c>
      <c r="G18" s="28">
        <v>2</v>
      </c>
      <c r="H18" s="17">
        <v>33692</v>
      </c>
      <c r="I18" s="84">
        <v>0</v>
      </c>
      <c r="J18" s="27">
        <f t="shared" si="1"/>
        <v>96</v>
      </c>
      <c r="K18" s="27">
        <f t="shared" si="2"/>
        <v>192</v>
      </c>
      <c r="L18" s="27">
        <f t="shared" si="2"/>
        <v>192</v>
      </c>
      <c r="M18" s="27">
        <f t="shared" si="3"/>
        <v>192</v>
      </c>
    </row>
    <row r="19" spans="1:13" x14ac:dyDescent="0.3">
      <c r="A19" s="112"/>
      <c r="B19" s="40" t="s">
        <v>296</v>
      </c>
      <c r="C19" s="15" t="s">
        <v>421</v>
      </c>
      <c r="D19" s="71" t="s">
        <v>422</v>
      </c>
      <c r="E19" s="95">
        <v>0.7</v>
      </c>
      <c r="F19" s="74">
        <v>1.21</v>
      </c>
      <c r="G19" s="42">
        <v>1.18</v>
      </c>
      <c r="H19" s="17">
        <v>9885.76</v>
      </c>
      <c r="I19" s="84">
        <v>0</v>
      </c>
      <c r="J19" s="27">
        <f t="shared" si="1"/>
        <v>56.64</v>
      </c>
      <c r="K19" s="27">
        <f t="shared" si="2"/>
        <v>113.28</v>
      </c>
      <c r="L19" s="27">
        <f t="shared" si="2"/>
        <v>113.28</v>
      </c>
      <c r="M19" s="27">
        <f t="shared" si="3"/>
        <v>116.16</v>
      </c>
    </row>
    <row r="20" spans="1:13" x14ac:dyDescent="0.3">
      <c r="A20" s="112"/>
      <c r="B20" s="40" t="s">
        <v>297</v>
      </c>
      <c r="C20" s="15" t="s">
        <v>423</v>
      </c>
      <c r="D20" s="71" t="s">
        <v>424</v>
      </c>
      <c r="E20" s="95">
        <v>5.0000000000000001E-3</v>
      </c>
      <c r="F20" s="74">
        <v>56.84</v>
      </c>
      <c r="G20" s="42">
        <v>0</v>
      </c>
      <c r="H20" s="17">
        <v>238173.44</v>
      </c>
      <c r="I20" s="84">
        <v>0</v>
      </c>
      <c r="J20" s="27">
        <f t="shared" si="1"/>
        <v>0</v>
      </c>
      <c r="K20" s="27">
        <f t="shared" si="2"/>
        <v>0</v>
      </c>
      <c r="L20" s="27">
        <f t="shared" si="2"/>
        <v>0</v>
      </c>
      <c r="M20" s="27">
        <f t="shared" si="3"/>
        <v>5456.64</v>
      </c>
    </row>
    <row r="21" spans="1:13" x14ac:dyDescent="0.3">
      <c r="A21" s="112"/>
      <c r="B21" s="40" t="s">
        <v>298</v>
      </c>
      <c r="C21" s="15" t="s">
        <v>425</v>
      </c>
      <c r="D21" s="71" t="s">
        <v>426</v>
      </c>
      <c r="E21" s="95">
        <v>0.05</v>
      </c>
      <c r="F21" s="74">
        <v>443.7525</v>
      </c>
      <c r="G21" s="42">
        <v>390.30550000000005</v>
      </c>
      <c r="H21" s="17">
        <v>7615079.0800000001</v>
      </c>
      <c r="I21" s="84">
        <v>0</v>
      </c>
      <c r="J21" s="27">
        <f t="shared" si="1"/>
        <v>18734.664000000004</v>
      </c>
      <c r="K21" s="27">
        <f t="shared" si="2"/>
        <v>37469.328000000009</v>
      </c>
      <c r="L21" s="27">
        <f t="shared" si="2"/>
        <v>37469.328000000009</v>
      </c>
      <c r="M21" s="27">
        <f t="shared" si="3"/>
        <v>42600.24</v>
      </c>
    </row>
    <row r="22" spans="1:13" x14ac:dyDescent="0.3">
      <c r="A22" s="112"/>
      <c r="B22" s="40" t="s">
        <v>299</v>
      </c>
      <c r="C22" s="15" t="s">
        <v>427</v>
      </c>
      <c r="D22" s="71" t="s">
        <v>428</v>
      </c>
      <c r="E22" s="95">
        <v>3.0000000000000001E-3</v>
      </c>
      <c r="F22" s="74">
        <v>168.04399999999998</v>
      </c>
      <c r="G22" s="42">
        <v>167.04399999999998</v>
      </c>
      <c r="H22" s="17">
        <v>2815199.4240000001</v>
      </c>
      <c r="I22" s="84">
        <v>0</v>
      </c>
      <c r="J22" s="27">
        <f t="shared" si="1"/>
        <v>8018.1119999999992</v>
      </c>
      <c r="K22" s="27">
        <f t="shared" si="2"/>
        <v>16036.223999999998</v>
      </c>
      <c r="L22" s="27">
        <f t="shared" si="2"/>
        <v>16036.223999999998</v>
      </c>
      <c r="M22" s="27">
        <f t="shared" si="3"/>
        <v>16132.223999999998</v>
      </c>
    </row>
    <row r="23" spans="1:13" x14ac:dyDescent="0.3">
      <c r="A23" s="112"/>
      <c r="B23" s="40" t="s">
        <v>300</v>
      </c>
      <c r="C23" s="15" t="s">
        <v>429</v>
      </c>
      <c r="D23" s="71" t="s">
        <v>430</v>
      </c>
      <c r="E23" s="95">
        <v>5.0000000000000001E-3</v>
      </c>
      <c r="F23" s="74">
        <v>25.475000000000001</v>
      </c>
      <c r="G23" s="42">
        <v>270.03200000000004</v>
      </c>
      <c r="H23" s="17">
        <v>3799794.56</v>
      </c>
      <c r="I23" s="84">
        <v>0</v>
      </c>
      <c r="J23" s="27">
        <f t="shared" si="1"/>
        <v>12961.536000000002</v>
      </c>
      <c r="K23" s="27">
        <f t="shared" si="2"/>
        <v>25923.072000000004</v>
      </c>
      <c r="L23" s="27">
        <f t="shared" si="2"/>
        <v>25923.072000000004</v>
      </c>
      <c r="M23" s="27">
        <f t="shared" si="3"/>
        <v>2445.6000000000004</v>
      </c>
    </row>
    <row r="24" spans="1:13" x14ac:dyDescent="0.3">
      <c r="A24" s="112"/>
      <c r="B24" s="40" t="s">
        <v>301</v>
      </c>
      <c r="C24" s="15" t="s">
        <v>431</v>
      </c>
      <c r="D24" s="71" t="s">
        <v>432</v>
      </c>
      <c r="E24" s="95">
        <v>0.08</v>
      </c>
      <c r="F24" s="27">
        <v>4</v>
      </c>
      <c r="G24" s="28">
        <v>4</v>
      </c>
      <c r="H24" s="17">
        <v>67384</v>
      </c>
      <c r="I24" s="84">
        <v>0</v>
      </c>
      <c r="J24" s="27">
        <f t="shared" si="1"/>
        <v>192</v>
      </c>
      <c r="K24" s="27">
        <f t="shared" si="2"/>
        <v>384</v>
      </c>
      <c r="L24" s="27">
        <f t="shared" si="2"/>
        <v>384</v>
      </c>
      <c r="M24" s="27">
        <f t="shared" si="3"/>
        <v>384</v>
      </c>
    </row>
    <row r="25" spans="1:13" hidden="1" x14ac:dyDescent="0.3">
      <c r="A25" s="112"/>
      <c r="B25" s="41" t="s">
        <v>302</v>
      </c>
      <c r="C25" s="16" t="s">
        <v>433</v>
      </c>
      <c r="D25" s="72" t="s">
        <v>434</v>
      </c>
      <c r="E25" s="95">
        <v>0</v>
      </c>
      <c r="F25" s="31">
        <v>2</v>
      </c>
      <c r="G25" s="32">
        <v>2</v>
      </c>
      <c r="H25" s="17">
        <v>17766</v>
      </c>
      <c r="I25" s="84">
        <v>0</v>
      </c>
      <c r="J25" s="27">
        <f t="shared" si="1"/>
        <v>96</v>
      </c>
      <c r="K25" s="27">
        <f t="shared" si="2"/>
        <v>192</v>
      </c>
      <c r="L25" s="27">
        <f t="shared" si="2"/>
        <v>192</v>
      </c>
      <c r="M25" s="27">
        <f t="shared" si="3"/>
        <v>192</v>
      </c>
    </row>
    <row r="26" spans="1:13" x14ac:dyDescent="0.3">
      <c r="A26" s="112"/>
      <c r="B26" s="40" t="s">
        <v>303</v>
      </c>
      <c r="C26" s="15" t="s">
        <v>435</v>
      </c>
      <c r="D26" s="71" t="s">
        <v>436</v>
      </c>
      <c r="E26" s="95">
        <v>0.6</v>
      </c>
      <c r="F26" s="27">
        <v>4</v>
      </c>
      <c r="G26" s="28">
        <v>3</v>
      </c>
      <c r="H26" s="17">
        <v>55904</v>
      </c>
      <c r="I26" s="84">
        <v>0</v>
      </c>
      <c r="J26" s="27">
        <f t="shared" si="1"/>
        <v>144</v>
      </c>
      <c r="K26" s="27">
        <f t="shared" si="2"/>
        <v>288</v>
      </c>
      <c r="L26" s="27">
        <f t="shared" si="2"/>
        <v>288</v>
      </c>
      <c r="M26" s="27">
        <f t="shared" si="3"/>
        <v>384</v>
      </c>
    </row>
    <row r="27" spans="1:13" x14ac:dyDescent="0.3">
      <c r="A27" s="112"/>
      <c r="B27" s="40" t="s">
        <v>304</v>
      </c>
      <c r="C27" s="15" t="s">
        <v>437</v>
      </c>
      <c r="D27" s="71" t="s">
        <v>438</v>
      </c>
      <c r="E27" s="95">
        <v>0.7</v>
      </c>
      <c r="F27" s="27">
        <v>0</v>
      </c>
      <c r="G27" s="42">
        <v>3.1199999999999999E-2</v>
      </c>
      <c r="H27" s="17">
        <v>748.53600000000006</v>
      </c>
      <c r="I27" s="84">
        <v>0</v>
      </c>
      <c r="J27" s="27">
        <f t="shared" si="1"/>
        <v>1.4975999999999998</v>
      </c>
      <c r="K27" s="27">
        <f t="shared" si="2"/>
        <v>2.9951999999999996</v>
      </c>
      <c r="L27" s="27">
        <f t="shared" si="2"/>
        <v>2.9951999999999996</v>
      </c>
      <c r="M27" s="27">
        <f t="shared" si="3"/>
        <v>0</v>
      </c>
    </row>
    <row r="28" spans="1:13" hidden="1" x14ac:dyDescent="0.3">
      <c r="A28" s="112"/>
      <c r="B28" s="41" t="s">
        <v>305</v>
      </c>
      <c r="C28" s="16" t="s">
        <v>439</v>
      </c>
      <c r="D28" s="72" t="s">
        <v>440</v>
      </c>
      <c r="E28" s="95">
        <v>0</v>
      </c>
      <c r="F28" s="31">
        <v>0.25</v>
      </c>
      <c r="G28" s="32">
        <v>0.25</v>
      </c>
      <c r="H28" s="17">
        <v>5895</v>
      </c>
      <c r="I28" s="84">
        <v>0</v>
      </c>
      <c r="J28" s="27">
        <f t="shared" si="1"/>
        <v>12</v>
      </c>
      <c r="K28" s="27">
        <f t="shared" si="2"/>
        <v>24</v>
      </c>
      <c r="L28" s="27">
        <f t="shared" si="2"/>
        <v>24</v>
      </c>
      <c r="M28" s="27">
        <f t="shared" si="3"/>
        <v>24</v>
      </c>
    </row>
    <row r="29" spans="1:13" x14ac:dyDescent="0.3">
      <c r="A29" s="112"/>
      <c r="B29" s="40" t="s">
        <v>306</v>
      </c>
      <c r="C29" s="15" t="s">
        <v>441</v>
      </c>
      <c r="D29" s="71" t="s">
        <v>442</v>
      </c>
      <c r="E29" s="95">
        <v>7.0000000000000007E-2</v>
      </c>
      <c r="F29" s="27">
        <v>2</v>
      </c>
      <c r="G29" s="28">
        <v>2</v>
      </c>
      <c r="H29" s="17">
        <v>33692</v>
      </c>
      <c r="I29" s="84">
        <v>0</v>
      </c>
      <c r="J29" s="27">
        <f t="shared" si="1"/>
        <v>96</v>
      </c>
      <c r="K29" s="27">
        <f t="shared" si="2"/>
        <v>192</v>
      </c>
      <c r="L29" s="27">
        <f t="shared" si="2"/>
        <v>192</v>
      </c>
      <c r="M29" s="27">
        <f t="shared" si="3"/>
        <v>192</v>
      </c>
    </row>
    <row r="30" spans="1:13" x14ac:dyDescent="0.3">
      <c r="A30" s="112"/>
      <c r="B30" s="40" t="s">
        <v>307</v>
      </c>
      <c r="C30" s="15" t="s">
        <v>431</v>
      </c>
      <c r="D30" s="71" t="s">
        <v>443</v>
      </c>
      <c r="E30" s="95">
        <v>5.0000000000000001E-3</v>
      </c>
      <c r="F30" s="27">
        <v>2</v>
      </c>
      <c r="G30" s="28">
        <v>2</v>
      </c>
      <c r="H30" s="17">
        <v>33592</v>
      </c>
      <c r="I30" s="84">
        <v>0</v>
      </c>
      <c r="J30" s="27">
        <f t="shared" si="1"/>
        <v>96</v>
      </c>
      <c r="K30" s="27">
        <f t="shared" si="2"/>
        <v>192</v>
      </c>
      <c r="L30" s="27">
        <f t="shared" si="2"/>
        <v>192</v>
      </c>
      <c r="M30" s="27">
        <f t="shared" si="3"/>
        <v>192</v>
      </c>
    </row>
    <row r="31" spans="1:13" x14ac:dyDescent="0.3">
      <c r="A31" s="112"/>
      <c r="B31" s="40" t="s">
        <v>308</v>
      </c>
      <c r="C31" s="15" t="s">
        <v>431</v>
      </c>
      <c r="D31" s="71" t="s">
        <v>444</v>
      </c>
      <c r="E31" s="95">
        <v>0.05</v>
      </c>
      <c r="F31" s="27">
        <v>4</v>
      </c>
      <c r="G31" s="28">
        <v>4</v>
      </c>
      <c r="H31" s="17">
        <v>68239</v>
      </c>
      <c r="I31" s="84">
        <v>0</v>
      </c>
      <c r="J31" s="27">
        <f t="shared" si="1"/>
        <v>192</v>
      </c>
      <c r="K31" s="27">
        <f t="shared" si="2"/>
        <v>384</v>
      </c>
      <c r="L31" s="27">
        <f t="shared" si="2"/>
        <v>384</v>
      </c>
      <c r="M31" s="27">
        <f t="shared" si="3"/>
        <v>384</v>
      </c>
    </row>
    <row r="32" spans="1:13" x14ac:dyDescent="0.3">
      <c r="A32" s="112"/>
      <c r="B32" s="40" t="s">
        <v>309</v>
      </c>
      <c r="C32" s="15" t="s">
        <v>445</v>
      </c>
      <c r="D32" s="71" t="s">
        <v>446</v>
      </c>
      <c r="E32" s="95">
        <v>0.05</v>
      </c>
      <c r="F32" s="27">
        <v>2</v>
      </c>
      <c r="G32" s="28">
        <v>2</v>
      </c>
      <c r="H32" s="17">
        <v>33642</v>
      </c>
      <c r="I32" s="84">
        <v>0</v>
      </c>
      <c r="J32" s="27">
        <f t="shared" si="1"/>
        <v>96</v>
      </c>
      <c r="K32" s="27">
        <f t="shared" si="2"/>
        <v>192</v>
      </c>
      <c r="L32" s="27">
        <f t="shared" si="2"/>
        <v>192</v>
      </c>
      <c r="M32" s="27">
        <f t="shared" si="3"/>
        <v>192</v>
      </c>
    </row>
    <row r="33" spans="1:13" x14ac:dyDescent="0.3">
      <c r="A33" s="112"/>
      <c r="B33" s="40" t="s">
        <v>310</v>
      </c>
      <c r="C33" s="15" t="s">
        <v>447</v>
      </c>
      <c r="D33" s="71" t="s">
        <v>448</v>
      </c>
      <c r="E33" s="95">
        <v>0.05</v>
      </c>
      <c r="F33" s="27">
        <v>2</v>
      </c>
      <c r="G33" s="28">
        <v>2</v>
      </c>
      <c r="H33" s="17">
        <v>35092</v>
      </c>
      <c r="I33" s="84">
        <v>0</v>
      </c>
      <c r="J33" s="27">
        <f t="shared" si="1"/>
        <v>96</v>
      </c>
      <c r="K33" s="27">
        <f t="shared" si="2"/>
        <v>192</v>
      </c>
      <c r="L33" s="27">
        <f t="shared" si="2"/>
        <v>192</v>
      </c>
      <c r="M33" s="27">
        <f t="shared" si="3"/>
        <v>192</v>
      </c>
    </row>
    <row r="34" spans="1:13" x14ac:dyDescent="0.3">
      <c r="A34" s="112"/>
      <c r="B34" s="40" t="s">
        <v>311</v>
      </c>
      <c r="C34" s="15" t="s">
        <v>449</v>
      </c>
      <c r="D34" s="71" t="s">
        <v>450</v>
      </c>
      <c r="E34" s="95">
        <v>0.05</v>
      </c>
      <c r="F34" s="27">
        <v>1</v>
      </c>
      <c r="G34" s="28">
        <v>1</v>
      </c>
      <c r="H34" s="17">
        <v>19051</v>
      </c>
      <c r="I34" s="84">
        <v>0</v>
      </c>
      <c r="J34" s="27">
        <f t="shared" si="1"/>
        <v>48</v>
      </c>
      <c r="K34" s="27">
        <f t="shared" si="2"/>
        <v>96</v>
      </c>
      <c r="L34" s="27">
        <f t="shared" si="2"/>
        <v>96</v>
      </c>
      <c r="M34" s="27">
        <f t="shared" si="3"/>
        <v>96</v>
      </c>
    </row>
    <row r="35" spans="1:13" x14ac:dyDescent="0.3">
      <c r="A35" s="112"/>
      <c r="B35" s="40" t="s">
        <v>312</v>
      </c>
      <c r="C35" s="15" t="s">
        <v>451</v>
      </c>
      <c r="D35" s="71" t="s">
        <v>452</v>
      </c>
      <c r="E35" s="95">
        <v>5.0000000000000001E-3</v>
      </c>
      <c r="F35" s="27">
        <v>4</v>
      </c>
      <c r="G35" s="28">
        <v>4</v>
      </c>
      <c r="H35" s="17">
        <v>67425</v>
      </c>
      <c r="I35" s="84">
        <v>0</v>
      </c>
      <c r="J35" s="27">
        <f t="shared" si="1"/>
        <v>192</v>
      </c>
      <c r="K35" s="27">
        <f t="shared" si="2"/>
        <v>384</v>
      </c>
      <c r="L35" s="27">
        <f t="shared" si="2"/>
        <v>384</v>
      </c>
      <c r="M35" s="27">
        <f t="shared" si="3"/>
        <v>384</v>
      </c>
    </row>
    <row r="36" spans="1:13" x14ac:dyDescent="0.3">
      <c r="A36" s="112"/>
      <c r="B36" s="40" t="s">
        <v>313</v>
      </c>
      <c r="C36" s="15" t="s">
        <v>447</v>
      </c>
      <c r="D36" s="71" t="s">
        <v>453</v>
      </c>
      <c r="E36" s="95">
        <v>0.05</v>
      </c>
      <c r="F36" s="27">
        <v>2</v>
      </c>
      <c r="G36" s="28">
        <v>2</v>
      </c>
      <c r="H36" s="17">
        <v>33692</v>
      </c>
      <c r="I36" s="84">
        <v>0</v>
      </c>
      <c r="J36" s="27">
        <f t="shared" si="1"/>
        <v>96</v>
      </c>
      <c r="K36" s="27">
        <f t="shared" si="2"/>
        <v>192</v>
      </c>
      <c r="L36" s="27">
        <f t="shared" si="2"/>
        <v>192</v>
      </c>
      <c r="M36" s="27">
        <f t="shared" si="3"/>
        <v>192</v>
      </c>
    </row>
    <row r="37" spans="1:13" x14ac:dyDescent="0.3">
      <c r="A37" s="112"/>
      <c r="B37" s="40" t="s">
        <v>314</v>
      </c>
      <c r="C37" s="15" t="s">
        <v>454</v>
      </c>
      <c r="D37" s="71" t="s">
        <v>455</v>
      </c>
      <c r="E37" s="95">
        <v>0.05</v>
      </c>
      <c r="F37" s="27">
        <v>2</v>
      </c>
      <c r="G37" s="28">
        <v>2</v>
      </c>
      <c r="H37" s="17">
        <v>33692</v>
      </c>
      <c r="I37" s="84">
        <v>0</v>
      </c>
      <c r="J37" s="27">
        <f t="shared" si="1"/>
        <v>96</v>
      </c>
      <c r="K37" s="27">
        <f t="shared" si="2"/>
        <v>192</v>
      </c>
      <c r="L37" s="27">
        <f t="shared" si="2"/>
        <v>192</v>
      </c>
      <c r="M37" s="27">
        <f t="shared" si="3"/>
        <v>192</v>
      </c>
    </row>
    <row r="38" spans="1:13" x14ac:dyDescent="0.3">
      <c r="A38" s="112"/>
      <c r="B38" s="40" t="s">
        <v>315</v>
      </c>
      <c r="C38" s="15" t="s">
        <v>456</v>
      </c>
      <c r="D38" s="71" t="s">
        <v>450</v>
      </c>
      <c r="E38" s="95">
        <v>7.0000000000000007E-2</v>
      </c>
      <c r="F38" s="27">
        <v>1</v>
      </c>
      <c r="G38" s="28">
        <v>1</v>
      </c>
      <c r="H38" s="17">
        <v>18796</v>
      </c>
      <c r="I38" s="84">
        <v>0</v>
      </c>
      <c r="J38" s="27">
        <f t="shared" si="1"/>
        <v>48</v>
      </c>
      <c r="K38" s="27">
        <f t="shared" si="2"/>
        <v>96</v>
      </c>
      <c r="L38" s="27">
        <f t="shared" si="2"/>
        <v>96</v>
      </c>
      <c r="M38" s="27">
        <f t="shared" si="3"/>
        <v>96</v>
      </c>
    </row>
    <row r="39" spans="1:13" x14ac:dyDescent="0.3">
      <c r="A39" s="112"/>
      <c r="B39" s="40" t="s">
        <v>316</v>
      </c>
      <c r="C39" s="15" t="s">
        <v>457</v>
      </c>
      <c r="D39" s="71" t="s">
        <v>458</v>
      </c>
      <c r="E39" s="95">
        <v>7.0000000000000007E-2</v>
      </c>
      <c r="F39" s="27">
        <v>2</v>
      </c>
      <c r="G39" s="28">
        <v>2</v>
      </c>
      <c r="H39" s="17">
        <v>33692</v>
      </c>
      <c r="I39" s="84">
        <v>0</v>
      </c>
      <c r="J39" s="27">
        <f t="shared" si="1"/>
        <v>96</v>
      </c>
      <c r="K39" s="27">
        <f t="shared" si="2"/>
        <v>192</v>
      </c>
      <c r="L39" s="27">
        <f t="shared" si="2"/>
        <v>192</v>
      </c>
      <c r="M39" s="27">
        <f t="shared" si="3"/>
        <v>192</v>
      </c>
    </row>
    <row r="40" spans="1:13" x14ac:dyDescent="0.3">
      <c r="A40" s="112"/>
      <c r="B40" s="40" t="s">
        <v>317</v>
      </c>
      <c r="C40" s="15" t="s">
        <v>459</v>
      </c>
      <c r="D40" s="71" t="s">
        <v>460</v>
      </c>
      <c r="E40" s="95">
        <v>0.05</v>
      </c>
      <c r="F40" s="27">
        <v>1</v>
      </c>
      <c r="G40" s="28">
        <v>1</v>
      </c>
      <c r="H40" s="17">
        <v>18796</v>
      </c>
      <c r="I40" s="84">
        <v>0</v>
      </c>
      <c r="J40" s="27">
        <f t="shared" si="1"/>
        <v>48</v>
      </c>
      <c r="K40" s="27">
        <f t="shared" si="2"/>
        <v>96</v>
      </c>
      <c r="L40" s="27">
        <f t="shared" si="2"/>
        <v>96</v>
      </c>
      <c r="M40" s="27">
        <f t="shared" si="3"/>
        <v>96</v>
      </c>
    </row>
    <row r="41" spans="1:13" x14ac:dyDescent="0.3">
      <c r="A41" s="112"/>
      <c r="B41" s="40" t="s">
        <v>318</v>
      </c>
      <c r="C41" s="15" t="s">
        <v>461</v>
      </c>
      <c r="D41" s="71" t="s">
        <v>462</v>
      </c>
      <c r="E41" s="95">
        <v>0.05</v>
      </c>
      <c r="F41" s="27">
        <v>1</v>
      </c>
      <c r="G41" s="28">
        <v>1</v>
      </c>
      <c r="H41" s="17">
        <v>18756</v>
      </c>
      <c r="I41" s="84">
        <v>0</v>
      </c>
      <c r="J41" s="27">
        <f t="shared" si="1"/>
        <v>48</v>
      </c>
      <c r="K41" s="27">
        <f t="shared" si="2"/>
        <v>96</v>
      </c>
      <c r="L41" s="27">
        <f t="shared" si="2"/>
        <v>96</v>
      </c>
      <c r="M41" s="27">
        <f t="shared" si="3"/>
        <v>96</v>
      </c>
    </row>
    <row r="42" spans="1:13" x14ac:dyDescent="0.3">
      <c r="A42" s="112"/>
      <c r="B42" s="40" t="s">
        <v>319</v>
      </c>
      <c r="C42" s="15" t="s">
        <v>463</v>
      </c>
      <c r="D42" s="71" t="s">
        <v>464</v>
      </c>
      <c r="E42" s="95">
        <v>0.05</v>
      </c>
      <c r="F42" s="27">
        <v>1</v>
      </c>
      <c r="G42" s="28">
        <v>1</v>
      </c>
      <c r="H42" s="17">
        <v>19756</v>
      </c>
      <c r="I42" s="84">
        <v>0</v>
      </c>
      <c r="J42" s="27">
        <f t="shared" si="1"/>
        <v>48</v>
      </c>
      <c r="K42" s="27">
        <f t="shared" si="2"/>
        <v>96</v>
      </c>
      <c r="L42" s="27">
        <f t="shared" si="2"/>
        <v>96</v>
      </c>
      <c r="M42" s="27">
        <f t="shared" si="3"/>
        <v>96</v>
      </c>
    </row>
    <row r="43" spans="1:13" x14ac:dyDescent="0.3">
      <c r="A43" s="112"/>
      <c r="B43" s="40" t="s">
        <v>320</v>
      </c>
      <c r="C43" s="15" t="s">
        <v>447</v>
      </c>
      <c r="D43" s="71" t="s">
        <v>465</v>
      </c>
      <c r="E43" s="95">
        <v>0.05</v>
      </c>
      <c r="F43" s="27">
        <v>2</v>
      </c>
      <c r="G43" s="28">
        <v>2</v>
      </c>
      <c r="H43" s="17">
        <v>34992</v>
      </c>
      <c r="I43" s="84">
        <v>0</v>
      </c>
      <c r="J43" s="27">
        <f t="shared" si="1"/>
        <v>96</v>
      </c>
      <c r="K43" s="27">
        <f t="shared" si="2"/>
        <v>192</v>
      </c>
      <c r="L43" s="27">
        <f t="shared" si="2"/>
        <v>192</v>
      </c>
      <c r="M43" s="27">
        <f t="shared" si="3"/>
        <v>192</v>
      </c>
    </row>
    <row r="44" spans="1:13" x14ac:dyDescent="0.3">
      <c r="A44" s="112"/>
      <c r="B44" s="40" t="s">
        <v>321</v>
      </c>
      <c r="C44" s="15" t="s">
        <v>466</v>
      </c>
      <c r="D44" s="71" t="s">
        <v>467</v>
      </c>
      <c r="E44" s="95">
        <v>0.05</v>
      </c>
      <c r="F44" s="27">
        <v>2</v>
      </c>
      <c r="G44" s="28">
        <v>2</v>
      </c>
      <c r="H44" s="17">
        <v>35092</v>
      </c>
      <c r="I44" s="84">
        <v>0</v>
      </c>
      <c r="J44" s="27">
        <f t="shared" si="1"/>
        <v>96</v>
      </c>
      <c r="K44" s="27">
        <f t="shared" si="2"/>
        <v>192</v>
      </c>
      <c r="L44" s="27">
        <f t="shared" si="2"/>
        <v>192</v>
      </c>
      <c r="M44" s="27">
        <f t="shared" si="3"/>
        <v>192</v>
      </c>
    </row>
    <row r="45" spans="1:13" x14ac:dyDescent="0.3">
      <c r="A45" s="112"/>
      <c r="B45" s="40" t="s">
        <v>322</v>
      </c>
      <c r="C45" s="15" t="s">
        <v>468</v>
      </c>
      <c r="D45" s="71" t="s">
        <v>469</v>
      </c>
      <c r="E45" s="95">
        <v>5.0000000000000001E-3</v>
      </c>
      <c r="F45" s="27">
        <v>1</v>
      </c>
      <c r="G45" s="28">
        <v>1</v>
      </c>
      <c r="H45" s="17">
        <v>20756</v>
      </c>
      <c r="I45" s="84">
        <v>0</v>
      </c>
      <c r="J45" s="27">
        <f t="shared" si="1"/>
        <v>48</v>
      </c>
      <c r="K45" s="27">
        <f t="shared" si="2"/>
        <v>96</v>
      </c>
      <c r="L45" s="27">
        <f t="shared" si="2"/>
        <v>96</v>
      </c>
      <c r="M45" s="27">
        <f t="shared" si="3"/>
        <v>96</v>
      </c>
    </row>
    <row r="46" spans="1:13" x14ac:dyDescent="0.3">
      <c r="A46" s="112"/>
      <c r="B46" s="40" t="s">
        <v>323</v>
      </c>
      <c r="C46" s="15" t="s">
        <v>431</v>
      </c>
      <c r="D46" s="71" t="s">
        <v>470</v>
      </c>
      <c r="E46" s="95">
        <v>5.0000000000000001E-3</v>
      </c>
      <c r="F46" s="27">
        <v>2</v>
      </c>
      <c r="G46" s="28">
        <v>2</v>
      </c>
      <c r="H46" s="17">
        <v>33612</v>
      </c>
      <c r="I46" s="84">
        <v>0</v>
      </c>
      <c r="J46" s="27">
        <f t="shared" si="1"/>
        <v>96</v>
      </c>
      <c r="K46" s="27">
        <f t="shared" si="2"/>
        <v>192</v>
      </c>
      <c r="L46" s="27">
        <f t="shared" si="2"/>
        <v>192</v>
      </c>
      <c r="M46" s="27">
        <f t="shared" si="3"/>
        <v>192</v>
      </c>
    </row>
    <row r="47" spans="1:13" x14ac:dyDescent="0.3">
      <c r="A47" s="112"/>
      <c r="B47" s="40" t="s">
        <v>324</v>
      </c>
      <c r="C47" s="15" t="s">
        <v>431</v>
      </c>
      <c r="D47" s="71" t="s">
        <v>465</v>
      </c>
      <c r="E47" s="95">
        <v>5.0000000000000001E-3</v>
      </c>
      <c r="F47" s="27">
        <v>2</v>
      </c>
      <c r="G47" s="28">
        <v>2</v>
      </c>
      <c r="H47" s="17">
        <v>33612</v>
      </c>
      <c r="I47" s="84">
        <v>0</v>
      </c>
      <c r="J47" s="27">
        <f t="shared" si="1"/>
        <v>96</v>
      </c>
      <c r="K47" s="27">
        <f t="shared" si="2"/>
        <v>192</v>
      </c>
      <c r="L47" s="27">
        <f t="shared" si="2"/>
        <v>192</v>
      </c>
      <c r="M47" s="27">
        <f t="shared" si="3"/>
        <v>192</v>
      </c>
    </row>
    <row r="48" spans="1:13" x14ac:dyDescent="0.3">
      <c r="A48" s="112"/>
      <c r="B48" s="40" t="s">
        <v>325</v>
      </c>
      <c r="C48" s="15" t="s">
        <v>471</v>
      </c>
      <c r="D48" s="71" t="s">
        <v>472</v>
      </c>
      <c r="E48" s="95">
        <v>0.3</v>
      </c>
      <c r="F48" s="27">
        <v>0</v>
      </c>
      <c r="G48" s="28">
        <v>1</v>
      </c>
      <c r="H48" s="17">
        <v>15280</v>
      </c>
      <c r="I48" s="84">
        <v>0</v>
      </c>
      <c r="J48" s="27">
        <f t="shared" si="1"/>
        <v>48</v>
      </c>
      <c r="K48" s="27">
        <f t="shared" si="2"/>
        <v>96</v>
      </c>
      <c r="L48" s="27">
        <f t="shared" si="2"/>
        <v>96</v>
      </c>
      <c r="M48" s="27">
        <f t="shared" si="3"/>
        <v>0</v>
      </c>
    </row>
    <row r="49" spans="1:13" x14ac:dyDescent="0.3">
      <c r="A49" s="112"/>
      <c r="B49" s="40" t="s">
        <v>326</v>
      </c>
      <c r="C49" s="15" t="s">
        <v>473</v>
      </c>
      <c r="D49" s="71" t="s">
        <v>474</v>
      </c>
      <c r="E49" s="95">
        <v>1</v>
      </c>
      <c r="F49" s="34">
        <v>7.7300000000000008E-2</v>
      </c>
      <c r="G49" s="43">
        <v>0.1139</v>
      </c>
      <c r="H49" s="17">
        <v>1748.3088</v>
      </c>
      <c r="I49" s="84">
        <v>0</v>
      </c>
      <c r="J49" s="27">
        <f t="shared" si="1"/>
        <v>5.4672000000000001</v>
      </c>
      <c r="K49" s="27">
        <f t="shared" si="2"/>
        <v>10.9344</v>
      </c>
      <c r="L49" s="27">
        <f t="shared" si="2"/>
        <v>10.9344</v>
      </c>
      <c r="M49" s="27">
        <f t="shared" si="3"/>
        <v>7.4208000000000007</v>
      </c>
    </row>
    <row r="50" spans="1:13" x14ac:dyDescent="0.3">
      <c r="A50" s="112"/>
      <c r="B50" s="40" t="s">
        <v>327</v>
      </c>
      <c r="C50" s="15" t="s">
        <v>475</v>
      </c>
      <c r="D50" s="71" t="s">
        <v>476</v>
      </c>
      <c r="E50" s="95">
        <v>3</v>
      </c>
      <c r="F50" s="34">
        <v>0.7</v>
      </c>
      <c r="G50" s="43">
        <v>1.08</v>
      </c>
      <c r="H50" s="17">
        <v>5998.6</v>
      </c>
      <c r="I50" s="84">
        <v>0</v>
      </c>
      <c r="J50" s="27">
        <f t="shared" si="1"/>
        <v>51.84</v>
      </c>
      <c r="K50" s="27">
        <f t="shared" si="2"/>
        <v>103.68</v>
      </c>
      <c r="L50" s="27">
        <f t="shared" si="2"/>
        <v>103.68</v>
      </c>
      <c r="M50" s="27">
        <f t="shared" si="3"/>
        <v>67.199999999999989</v>
      </c>
    </row>
    <row r="51" spans="1:13" x14ac:dyDescent="0.3">
      <c r="A51" s="112"/>
      <c r="B51" s="40" t="s">
        <v>328</v>
      </c>
      <c r="C51" s="15" t="s">
        <v>477</v>
      </c>
      <c r="D51" s="71" t="s">
        <v>478</v>
      </c>
      <c r="E51" s="95">
        <v>0.22</v>
      </c>
      <c r="F51" s="27">
        <v>0.2</v>
      </c>
      <c r="G51" s="28">
        <v>0.24</v>
      </c>
      <c r="H51" s="17">
        <v>3825.72</v>
      </c>
      <c r="I51" s="84">
        <v>0</v>
      </c>
      <c r="J51" s="27">
        <f t="shared" si="1"/>
        <v>11.52</v>
      </c>
      <c r="K51" s="27">
        <f t="shared" si="2"/>
        <v>23.04</v>
      </c>
      <c r="L51" s="27">
        <f t="shared" si="2"/>
        <v>23.04</v>
      </c>
      <c r="M51" s="27">
        <f t="shared" si="3"/>
        <v>19.200000000000003</v>
      </c>
    </row>
    <row r="52" spans="1:13" x14ac:dyDescent="0.3">
      <c r="A52" s="112"/>
      <c r="B52" s="40" t="s">
        <v>329</v>
      </c>
      <c r="C52" s="15" t="s">
        <v>479</v>
      </c>
      <c r="D52" s="71" t="s">
        <v>480</v>
      </c>
      <c r="E52" s="95">
        <v>0.22</v>
      </c>
      <c r="F52" s="27">
        <v>0.08</v>
      </c>
      <c r="G52" s="28">
        <v>0.12</v>
      </c>
      <c r="H52" s="17">
        <v>1971.7600000000002</v>
      </c>
      <c r="I52" s="84">
        <v>0</v>
      </c>
      <c r="J52" s="27">
        <f t="shared" si="1"/>
        <v>5.76</v>
      </c>
      <c r="K52" s="27">
        <f t="shared" si="2"/>
        <v>11.52</v>
      </c>
      <c r="L52" s="27">
        <f t="shared" si="2"/>
        <v>11.52</v>
      </c>
      <c r="M52" s="27">
        <f t="shared" si="3"/>
        <v>7.68</v>
      </c>
    </row>
    <row r="53" spans="1:13" hidden="1" x14ac:dyDescent="0.3">
      <c r="A53" s="112"/>
      <c r="B53" s="41" t="s">
        <v>330</v>
      </c>
      <c r="C53" s="16" t="s">
        <v>481</v>
      </c>
      <c r="D53" s="72" t="s">
        <v>482</v>
      </c>
      <c r="E53" s="95">
        <v>0</v>
      </c>
      <c r="F53" s="31">
        <v>0.16</v>
      </c>
      <c r="G53" s="32">
        <v>0.16</v>
      </c>
      <c r="H53" s="17">
        <v>4548.3599999999997</v>
      </c>
      <c r="I53" s="84">
        <v>0</v>
      </c>
      <c r="J53" s="27">
        <f t="shared" si="1"/>
        <v>7.68</v>
      </c>
      <c r="K53" s="27">
        <f t="shared" si="2"/>
        <v>15.36</v>
      </c>
      <c r="L53" s="27">
        <f t="shared" si="2"/>
        <v>15.36</v>
      </c>
      <c r="M53" s="27">
        <f t="shared" si="3"/>
        <v>15.36</v>
      </c>
    </row>
    <row r="54" spans="1:13" x14ac:dyDescent="0.3">
      <c r="A54" s="112"/>
      <c r="B54" s="40" t="s">
        <v>331</v>
      </c>
      <c r="C54" s="15" t="s">
        <v>483</v>
      </c>
      <c r="D54" s="71" t="s">
        <v>484</v>
      </c>
      <c r="E54" s="95">
        <v>5.0000000000000001E-3</v>
      </c>
      <c r="F54" s="27">
        <v>4</v>
      </c>
      <c r="G54" s="28">
        <v>4</v>
      </c>
      <c r="H54" s="17">
        <v>67184</v>
      </c>
      <c r="I54" s="84">
        <v>0</v>
      </c>
      <c r="J54" s="27">
        <f t="shared" si="1"/>
        <v>192</v>
      </c>
      <c r="K54" s="27">
        <f t="shared" si="2"/>
        <v>384</v>
      </c>
      <c r="L54" s="27">
        <f t="shared" si="2"/>
        <v>384</v>
      </c>
      <c r="M54" s="27">
        <f t="shared" si="3"/>
        <v>384</v>
      </c>
    </row>
    <row r="55" spans="1:13" x14ac:dyDescent="0.3">
      <c r="A55" s="112"/>
      <c r="B55" s="40" t="s">
        <v>332</v>
      </c>
      <c r="C55" s="15" t="s">
        <v>485</v>
      </c>
      <c r="D55" s="71" t="s">
        <v>486</v>
      </c>
      <c r="E55" s="95">
        <v>0.08</v>
      </c>
      <c r="F55" s="27">
        <v>4</v>
      </c>
      <c r="G55" s="28">
        <v>4</v>
      </c>
      <c r="H55" s="17">
        <v>67584</v>
      </c>
      <c r="I55" s="84">
        <v>0</v>
      </c>
      <c r="J55" s="27">
        <f t="shared" si="1"/>
        <v>192</v>
      </c>
      <c r="K55" s="27">
        <f t="shared" si="2"/>
        <v>384</v>
      </c>
      <c r="L55" s="27">
        <f t="shared" si="2"/>
        <v>384</v>
      </c>
      <c r="M55" s="27">
        <f t="shared" si="3"/>
        <v>384</v>
      </c>
    </row>
    <row r="56" spans="1:13" x14ac:dyDescent="0.3">
      <c r="A56" s="112"/>
      <c r="B56" s="40" t="s">
        <v>333</v>
      </c>
      <c r="C56" s="15" t="s">
        <v>487</v>
      </c>
      <c r="D56" s="71" t="s">
        <v>488</v>
      </c>
      <c r="E56" s="95">
        <v>0.08</v>
      </c>
      <c r="F56" s="27">
        <v>4</v>
      </c>
      <c r="G56" s="28">
        <v>4</v>
      </c>
      <c r="H56" s="17">
        <v>67584</v>
      </c>
      <c r="I56" s="84">
        <v>0</v>
      </c>
      <c r="J56" s="27">
        <f t="shared" si="1"/>
        <v>192</v>
      </c>
      <c r="K56" s="27">
        <f t="shared" si="2"/>
        <v>384</v>
      </c>
      <c r="L56" s="27">
        <f t="shared" si="2"/>
        <v>384</v>
      </c>
      <c r="M56" s="27">
        <f t="shared" si="3"/>
        <v>384</v>
      </c>
    </row>
    <row r="57" spans="1:13" hidden="1" x14ac:dyDescent="0.3">
      <c r="A57" s="112"/>
      <c r="B57" s="41" t="s">
        <v>334</v>
      </c>
      <c r="C57" s="16" t="s">
        <v>489</v>
      </c>
      <c r="D57" s="72" t="s">
        <v>490</v>
      </c>
      <c r="E57" s="95">
        <v>0.08</v>
      </c>
      <c r="F57" s="31">
        <v>0</v>
      </c>
      <c r="G57" s="44">
        <v>0.96</v>
      </c>
      <c r="H57" s="17">
        <v>15108.8</v>
      </c>
      <c r="I57" s="84">
        <v>0</v>
      </c>
      <c r="J57" s="27">
        <f t="shared" si="1"/>
        <v>46.08</v>
      </c>
      <c r="K57" s="27">
        <f t="shared" si="2"/>
        <v>92.16</v>
      </c>
      <c r="L57" s="27">
        <f t="shared" si="2"/>
        <v>92.16</v>
      </c>
      <c r="M57" s="27">
        <f t="shared" si="3"/>
        <v>0</v>
      </c>
    </row>
    <row r="58" spans="1:13" x14ac:dyDescent="0.3">
      <c r="A58" s="112"/>
      <c r="B58" s="40" t="s">
        <v>335</v>
      </c>
      <c r="C58" s="15" t="s">
        <v>491</v>
      </c>
      <c r="D58" s="71" t="s">
        <v>492</v>
      </c>
      <c r="E58" s="95">
        <v>3.0000000000000001E-3</v>
      </c>
      <c r="F58" s="33">
        <v>0</v>
      </c>
      <c r="G58" s="43">
        <v>13.574000000000002</v>
      </c>
      <c r="H58" s="17">
        <v>251226.72</v>
      </c>
      <c r="I58" s="84">
        <v>0</v>
      </c>
      <c r="J58" s="27">
        <f t="shared" si="1"/>
        <v>651.55200000000013</v>
      </c>
      <c r="K58" s="27">
        <f t="shared" si="2"/>
        <v>1303.1040000000003</v>
      </c>
      <c r="L58" s="27">
        <f t="shared" si="2"/>
        <v>1303.1040000000003</v>
      </c>
      <c r="M58" s="27">
        <f t="shared" si="3"/>
        <v>0</v>
      </c>
    </row>
    <row r="59" spans="1:13" ht="15" thickBot="1" x14ac:dyDescent="0.35">
      <c r="A59" s="113"/>
      <c r="B59" s="45" t="s">
        <v>336</v>
      </c>
      <c r="C59" s="46" t="s">
        <v>429</v>
      </c>
      <c r="D59" s="73" t="s">
        <v>493</v>
      </c>
      <c r="E59" s="95">
        <v>5.0000000000000001E-3</v>
      </c>
      <c r="F59" s="36">
        <v>0</v>
      </c>
      <c r="G59" s="47">
        <v>19.719000000000001</v>
      </c>
      <c r="H59" s="17">
        <v>388802.32</v>
      </c>
      <c r="I59" s="84">
        <v>0</v>
      </c>
      <c r="J59" s="27">
        <f t="shared" si="1"/>
        <v>946.51200000000006</v>
      </c>
      <c r="K59" s="27">
        <f t="shared" si="2"/>
        <v>1893.0240000000001</v>
      </c>
      <c r="L59" s="27">
        <f t="shared" si="2"/>
        <v>1893.0240000000001</v>
      </c>
      <c r="M59" s="27">
        <f t="shared" si="3"/>
        <v>0</v>
      </c>
    </row>
  </sheetData>
  <autoFilter ref="B2:H59" xr:uid="{8948876D-2FE9-45A8-8BAE-E3524A797A27}"/>
  <mergeCells count="4">
    <mergeCell ref="I1:M1"/>
    <mergeCell ref="B1:D1"/>
    <mergeCell ref="F1:G1"/>
    <mergeCell ref="A2:A59"/>
  </mergeCells>
  <phoneticPr fontId="9" type="noConversion"/>
  <pageMargins left="0.7" right="0.7" top="0.75" bottom="0.75" header="0.3" footer="0.3"/>
  <ignoredErrors>
    <ignoredError sqref="M3:M59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4F39-3D9A-48F0-AB3E-D907BD17DA9D}">
  <dimension ref="A1:H3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defaultRowHeight="14.4" x14ac:dyDescent="0.3"/>
  <cols>
    <col min="1" max="1" width="4.109375" customWidth="1"/>
    <col min="2" max="2" width="19.88671875" bestFit="1" customWidth="1"/>
    <col min="3" max="3" width="24.6640625" customWidth="1"/>
    <col min="4" max="4" width="19.5546875" bestFit="1" customWidth="1"/>
    <col min="5" max="5" width="19.5546875" customWidth="1"/>
    <col min="6" max="6" width="7.44140625" bestFit="1" customWidth="1"/>
    <col min="7" max="7" width="8.33203125" bestFit="1" customWidth="1"/>
    <col min="8" max="8" width="9.6640625" customWidth="1"/>
  </cols>
  <sheetData>
    <row r="1" spans="1:8" ht="15" thickBot="1" x14ac:dyDescent="0.35">
      <c r="A1" s="57"/>
      <c r="B1" s="100" t="s">
        <v>376</v>
      </c>
      <c r="C1" s="99"/>
      <c r="D1" s="101"/>
      <c r="E1" s="86"/>
      <c r="F1" s="100" t="s">
        <v>375</v>
      </c>
      <c r="G1" s="101"/>
      <c r="H1" s="82"/>
    </row>
    <row r="2" spans="1:8" ht="28.2" customHeight="1" x14ac:dyDescent="0.3">
      <c r="A2" s="114" t="s">
        <v>373</v>
      </c>
      <c r="B2" s="49" t="s">
        <v>356</v>
      </c>
      <c r="C2" s="50" t="s">
        <v>266</v>
      </c>
      <c r="D2" s="51" t="s">
        <v>267</v>
      </c>
      <c r="E2" s="94" t="s">
        <v>388</v>
      </c>
      <c r="F2" s="49" t="s">
        <v>371</v>
      </c>
      <c r="G2" s="51" t="s">
        <v>372</v>
      </c>
      <c r="H2" s="35" t="s">
        <v>278</v>
      </c>
    </row>
    <row r="3" spans="1:8" ht="15" thickBot="1" x14ac:dyDescent="0.35">
      <c r="A3" s="115"/>
      <c r="B3" s="52" t="s">
        <v>344</v>
      </c>
      <c r="C3" s="53" t="s">
        <v>345</v>
      </c>
      <c r="D3" s="75" t="s">
        <v>349</v>
      </c>
      <c r="E3" s="95">
        <v>46.08</v>
      </c>
      <c r="F3" s="76">
        <v>0</v>
      </c>
      <c r="G3" s="54">
        <v>1.55</v>
      </c>
      <c r="H3" s="55">
        <v>5093.87</v>
      </c>
    </row>
  </sheetData>
  <autoFilter ref="B2:H2" xr:uid="{82E74F39-3D9A-48F0-AB3E-D907BD17DA9D}"/>
  <mergeCells count="3">
    <mergeCell ref="B1:D1"/>
    <mergeCell ref="F1:G1"/>
    <mergeCell ref="A2:A3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99E2-B46B-4AD8-A02E-11DA54F84670}">
  <dimension ref="A1:Y5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H9" sqref="H9"/>
    </sheetView>
  </sheetViews>
  <sheetFormatPr defaultRowHeight="14.4" x14ac:dyDescent="0.3"/>
  <cols>
    <col min="1" max="1" width="3.88671875" customWidth="1"/>
    <col min="2" max="2" width="15.5546875" bestFit="1" customWidth="1"/>
    <col min="3" max="3" width="43.77734375" bestFit="1" customWidth="1"/>
    <col min="4" max="4" width="10.33203125" bestFit="1" customWidth="1"/>
    <col min="5" max="5" width="9.33203125" bestFit="1" customWidth="1"/>
    <col min="6" max="7" width="7.33203125" bestFit="1" customWidth="1"/>
    <col min="8" max="8" width="9.33203125" bestFit="1" customWidth="1"/>
  </cols>
  <sheetData>
    <row r="1" spans="1:8" ht="15" thickBot="1" x14ac:dyDescent="0.35">
      <c r="A1" s="48"/>
      <c r="B1" s="110" t="s">
        <v>376</v>
      </c>
      <c r="C1" s="108"/>
      <c r="D1" s="109"/>
      <c r="E1" s="82"/>
      <c r="F1" s="110" t="s">
        <v>375</v>
      </c>
      <c r="G1" s="109"/>
      <c r="H1" s="82"/>
    </row>
    <row r="2" spans="1:8" x14ac:dyDescent="0.3">
      <c r="A2" s="116" t="s">
        <v>374</v>
      </c>
      <c r="B2" s="58" t="s">
        <v>356</v>
      </c>
      <c r="C2" s="59" t="s">
        <v>377</v>
      </c>
      <c r="D2" s="60" t="s">
        <v>378</v>
      </c>
      <c r="E2" s="94" t="s">
        <v>388</v>
      </c>
      <c r="F2" s="58" t="s">
        <v>371</v>
      </c>
      <c r="G2" s="60" t="s">
        <v>372</v>
      </c>
      <c r="H2" s="35" t="s">
        <v>278</v>
      </c>
    </row>
    <row r="3" spans="1:8" x14ac:dyDescent="0.3">
      <c r="A3" s="117"/>
      <c r="B3" s="27" t="s">
        <v>338</v>
      </c>
      <c r="C3" s="20" t="s">
        <v>339</v>
      </c>
      <c r="D3" s="28" t="s">
        <v>346</v>
      </c>
      <c r="E3" s="95">
        <v>6.4</v>
      </c>
      <c r="F3" s="74">
        <v>0.68</v>
      </c>
      <c r="G3" s="42">
        <v>0.5</v>
      </c>
      <c r="H3" s="21">
        <v>4161.09</v>
      </c>
    </row>
    <row r="4" spans="1:8" x14ac:dyDescent="0.3">
      <c r="A4" s="117"/>
      <c r="B4" s="27" t="s">
        <v>340</v>
      </c>
      <c r="C4" s="20" t="s">
        <v>341</v>
      </c>
      <c r="D4" s="28" t="s">
        <v>347</v>
      </c>
      <c r="E4" s="95">
        <v>9.32</v>
      </c>
      <c r="F4" s="74">
        <v>3.1E-2</v>
      </c>
      <c r="G4" s="42">
        <v>0</v>
      </c>
      <c r="H4" s="21">
        <v>905.90599999999995</v>
      </c>
    </row>
    <row r="5" spans="1:8" ht="15" thickBot="1" x14ac:dyDescent="0.35">
      <c r="A5" s="117"/>
      <c r="B5" s="29" t="s">
        <v>342</v>
      </c>
      <c r="C5" s="61" t="s">
        <v>343</v>
      </c>
      <c r="D5" s="30" t="s">
        <v>348</v>
      </c>
      <c r="E5" s="95">
        <v>11.79</v>
      </c>
      <c r="F5" s="77">
        <v>0</v>
      </c>
      <c r="G5" s="62">
        <v>2.7E-2</v>
      </c>
      <c r="H5" s="21">
        <v>1177</v>
      </c>
    </row>
  </sheetData>
  <autoFilter ref="B2:H2" xr:uid="{82E74F39-3D9A-48F0-AB3E-D907BD17DA9D}"/>
  <mergeCells count="3">
    <mergeCell ref="A2:A5"/>
    <mergeCell ref="B1:D1"/>
    <mergeCell ref="F1:G1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37FC-2FD2-4E62-B626-C84391421A90}">
  <dimension ref="A1:H4"/>
  <sheetViews>
    <sheetView workbookViewId="0">
      <selection activeCell="F9" sqref="F9"/>
    </sheetView>
  </sheetViews>
  <sheetFormatPr defaultRowHeight="14.4" x14ac:dyDescent="0.3"/>
  <cols>
    <col min="1" max="1" width="4" customWidth="1"/>
    <col min="2" max="2" width="19.88671875" bestFit="1" customWidth="1"/>
    <col min="3" max="3" width="46.77734375" bestFit="1" customWidth="1"/>
    <col min="4" max="4" width="10" bestFit="1" customWidth="1"/>
    <col min="5" max="5" width="10" customWidth="1"/>
    <col min="6" max="7" width="7.44140625" bestFit="1" customWidth="1"/>
  </cols>
  <sheetData>
    <row r="1" spans="1:8" ht="15" thickBot="1" x14ac:dyDescent="0.35">
      <c r="B1" s="110" t="s">
        <v>376</v>
      </c>
      <c r="C1" s="108"/>
      <c r="D1" s="109"/>
      <c r="E1" s="82"/>
      <c r="F1" s="110" t="s">
        <v>375</v>
      </c>
      <c r="G1" s="109"/>
      <c r="H1" s="82"/>
    </row>
    <row r="2" spans="1:8" ht="26.25" customHeight="1" x14ac:dyDescent="0.3">
      <c r="A2" s="118" t="s">
        <v>357</v>
      </c>
      <c r="B2" s="58" t="s">
        <v>356</v>
      </c>
      <c r="C2" s="59" t="s">
        <v>266</v>
      </c>
      <c r="D2" s="60" t="s">
        <v>267</v>
      </c>
      <c r="E2" s="94" t="s">
        <v>388</v>
      </c>
      <c r="F2" s="58" t="s">
        <v>371</v>
      </c>
      <c r="G2" s="60" t="s">
        <v>372</v>
      </c>
      <c r="H2" s="35" t="s">
        <v>278</v>
      </c>
    </row>
    <row r="3" spans="1:8" x14ac:dyDescent="0.3">
      <c r="A3" s="118"/>
      <c r="B3" s="40" t="s">
        <v>350</v>
      </c>
      <c r="C3" s="15" t="s">
        <v>351</v>
      </c>
      <c r="D3" s="71" t="s">
        <v>354</v>
      </c>
      <c r="E3" s="95">
        <v>8.91</v>
      </c>
      <c r="F3" s="27">
        <v>1.3</v>
      </c>
      <c r="G3" s="28">
        <v>0</v>
      </c>
      <c r="H3" s="21">
        <v>3935.0600000000004</v>
      </c>
    </row>
    <row r="4" spans="1:8" ht="15" thickBot="1" x14ac:dyDescent="0.35">
      <c r="A4" s="118"/>
      <c r="B4" s="45" t="s">
        <v>352</v>
      </c>
      <c r="C4" s="46" t="s">
        <v>353</v>
      </c>
      <c r="D4" s="73" t="s">
        <v>355</v>
      </c>
      <c r="E4" s="95">
        <v>35.93</v>
      </c>
      <c r="F4" s="29">
        <v>0</v>
      </c>
      <c r="G4" s="30">
        <v>4.4999999999999998E-2</v>
      </c>
      <c r="H4" s="21">
        <v>1107.71</v>
      </c>
    </row>
  </sheetData>
  <autoFilter ref="B2:H2" xr:uid="{97D537FC-2FD2-4E62-B626-C84391421A90}"/>
  <mergeCells count="3">
    <mergeCell ref="A2:A4"/>
    <mergeCell ref="B1:D1"/>
    <mergeCell ref="F1:G1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1F5A-4CE4-4A6D-925B-BEBE8CDCDCDE}">
  <dimension ref="A1:AH6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defaultRowHeight="14.4" x14ac:dyDescent="0.3"/>
  <cols>
    <col min="1" max="1" width="4" customWidth="1"/>
    <col min="2" max="2" width="22.88671875" bestFit="1" customWidth="1"/>
    <col min="3" max="3" width="43.33203125" bestFit="1" customWidth="1"/>
    <col min="4" max="4" width="31.6640625" bestFit="1" customWidth="1"/>
    <col min="5" max="5" width="9.33203125" bestFit="1" customWidth="1"/>
    <col min="6" max="7" width="7.44140625" bestFit="1" customWidth="1"/>
  </cols>
  <sheetData>
    <row r="1" spans="1:8" ht="15" thickBot="1" x14ac:dyDescent="0.35">
      <c r="B1" s="110" t="s">
        <v>376</v>
      </c>
      <c r="C1" s="108"/>
      <c r="D1" s="109"/>
      <c r="E1" s="82"/>
      <c r="F1" s="110" t="s">
        <v>375</v>
      </c>
      <c r="G1" s="109"/>
      <c r="H1" s="82"/>
    </row>
    <row r="2" spans="1:8" x14ac:dyDescent="0.3">
      <c r="A2" s="118" t="s">
        <v>358</v>
      </c>
      <c r="B2" s="58" t="s">
        <v>356</v>
      </c>
      <c r="C2" s="59" t="s">
        <v>266</v>
      </c>
      <c r="D2" s="60" t="s">
        <v>267</v>
      </c>
      <c r="E2" s="94" t="s">
        <v>388</v>
      </c>
      <c r="F2" s="58" t="s">
        <v>371</v>
      </c>
      <c r="G2" s="60" t="s">
        <v>372</v>
      </c>
      <c r="H2" s="35" t="s">
        <v>278</v>
      </c>
    </row>
    <row r="3" spans="1:8" x14ac:dyDescent="0.3">
      <c r="A3" s="118"/>
      <c r="B3" s="63" t="s">
        <v>359</v>
      </c>
      <c r="C3" s="22" t="s">
        <v>363</v>
      </c>
      <c r="D3" s="78" t="s">
        <v>364</v>
      </c>
      <c r="E3" s="95">
        <v>14.45</v>
      </c>
      <c r="F3" s="80">
        <v>0.65</v>
      </c>
      <c r="G3" s="64">
        <v>0</v>
      </c>
      <c r="H3" s="21">
        <v>2464.44</v>
      </c>
    </row>
    <row r="4" spans="1:8" x14ac:dyDescent="0.3">
      <c r="A4" s="118"/>
      <c r="B4" s="63" t="s">
        <v>360</v>
      </c>
      <c r="C4" s="22" t="s">
        <v>365</v>
      </c>
      <c r="D4" s="78" t="s">
        <v>366</v>
      </c>
      <c r="E4" s="95">
        <v>17.25</v>
      </c>
      <c r="F4" s="80">
        <v>0</v>
      </c>
      <c r="G4" s="64">
        <v>1.2</v>
      </c>
      <c r="H4" s="21">
        <v>3749.6000000000004</v>
      </c>
    </row>
    <row r="5" spans="1:8" x14ac:dyDescent="0.3">
      <c r="A5" s="118"/>
      <c r="B5" s="63" t="s">
        <v>361</v>
      </c>
      <c r="C5" s="22" t="s">
        <v>367</v>
      </c>
      <c r="D5" s="78" t="s">
        <v>368</v>
      </c>
      <c r="E5" s="95">
        <v>13.2</v>
      </c>
      <c r="F5" s="80">
        <v>0.65</v>
      </c>
      <c r="G5" s="64">
        <v>0.65</v>
      </c>
      <c r="H5" s="21">
        <v>5677.0999999999995</v>
      </c>
    </row>
    <row r="6" spans="1:8" ht="15" thickBot="1" x14ac:dyDescent="0.35">
      <c r="A6" s="118"/>
      <c r="B6" s="65" t="s">
        <v>362</v>
      </c>
      <c r="C6" s="66" t="s">
        <v>369</v>
      </c>
      <c r="D6" s="79" t="s">
        <v>370</v>
      </c>
      <c r="E6" s="95">
        <v>7.58</v>
      </c>
      <c r="F6" s="81">
        <v>0.06</v>
      </c>
      <c r="G6" s="67">
        <v>0.06</v>
      </c>
      <c r="H6" s="21">
        <v>716.66000000000008</v>
      </c>
    </row>
  </sheetData>
  <autoFilter ref="B2:H2" xr:uid="{1DDC1F5A-4CE4-4A6D-925B-BEBE8CDCDCDE}"/>
  <mergeCells count="3">
    <mergeCell ref="A2:A6"/>
    <mergeCell ref="B1:D1"/>
    <mergeCell ref="F1:G1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60FF-33C8-48A3-BFE5-2ED0019B75AF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380</v>
      </c>
      <c r="B1" t="s">
        <v>381</v>
      </c>
      <c r="C1" s="85">
        <v>45837</v>
      </c>
    </row>
    <row r="2" spans="1:3" x14ac:dyDescent="0.3">
      <c r="A2" t="s">
        <v>380</v>
      </c>
      <c r="B2" t="s">
        <v>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96A8-20B1-498D-9E25-0ACDCEE806E7}">
  <dimension ref="A1:F54"/>
  <sheetViews>
    <sheetView workbookViewId="0">
      <selection activeCell="B7" sqref="B7"/>
    </sheetView>
  </sheetViews>
  <sheetFormatPr defaultRowHeight="14.4" x14ac:dyDescent="0.3"/>
  <cols>
    <col min="1" max="1" width="16.109375" bestFit="1" customWidth="1"/>
    <col min="2" max="2" width="60" bestFit="1" customWidth="1"/>
    <col min="5" max="5" width="14.109375" bestFit="1" customWidth="1"/>
    <col min="6" max="6" width="11.33203125" bestFit="1" customWidth="1"/>
  </cols>
  <sheetData>
    <row r="1" spans="1:6" ht="15" thickBot="1" x14ac:dyDescent="0.35">
      <c r="A1" s="1" t="s">
        <v>269</v>
      </c>
      <c r="B1" s="9" t="s">
        <v>266</v>
      </c>
      <c r="C1" s="1" t="s">
        <v>270</v>
      </c>
    </row>
    <row r="2" spans="1:6" ht="16.8" x14ac:dyDescent="0.45">
      <c r="A2" s="2" t="s">
        <v>1</v>
      </c>
      <c r="B2" s="8" t="s">
        <v>2</v>
      </c>
      <c r="C2" s="3">
        <v>180</v>
      </c>
      <c r="E2" s="12" t="s">
        <v>274</v>
      </c>
      <c r="F2" t="s">
        <v>276</v>
      </c>
    </row>
    <row r="3" spans="1:6" ht="16.8" x14ac:dyDescent="0.45">
      <c r="A3" s="4" t="s">
        <v>5</v>
      </c>
      <c r="B3" s="8" t="s">
        <v>6</v>
      </c>
      <c r="C3" s="5">
        <v>60</v>
      </c>
      <c r="E3" s="13">
        <v>4370075</v>
      </c>
      <c r="F3">
        <v>1200</v>
      </c>
    </row>
    <row r="4" spans="1:6" ht="16.8" x14ac:dyDescent="0.45">
      <c r="A4" s="4" t="s">
        <v>9</v>
      </c>
      <c r="B4" s="8" t="s">
        <v>10</v>
      </c>
      <c r="C4" s="5">
        <v>60</v>
      </c>
      <c r="E4" s="13" t="s">
        <v>257</v>
      </c>
      <c r="F4">
        <v>4000</v>
      </c>
    </row>
    <row r="5" spans="1:6" ht="16.8" x14ac:dyDescent="0.45">
      <c r="A5" s="4" t="s">
        <v>13</v>
      </c>
      <c r="B5" s="11" t="s">
        <v>271</v>
      </c>
      <c r="C5" s="5">
        <v>216</v>
      </c>
      <c r="E5" s="13" t="s">
        <v>260</v>
      </c>
      <c r="F5">
        <v>1000</v>
      </c>
    </row>
    <row r="6" spans="1:6" ht="16.8" x14ac:dyDescent="0.45">
      <c r="A6" s="4" t="s">
        <v>268</v>
      </c>
      <c r="B6" s="8" t="s">
        <v>18</v>
      </c>
      <c r="C6" s="5">
        <v>36</v>
      </c>
      <c r="E6" s="13" t="s">
        <v>36</v>
      </c>
      <c r="F6">
        <v>800</v>
      </c>
    </row>
    <row r="7" spans="1:6" ht="16.8" x14ac:dyDescent="0.45">
      <c r="A7" s="4" t="s">
        <v>21</v>
      </c>
      <c r="B7" s="11" t="s">
        <v>272</v>
      </c>
      <c r="C7" s="5">
        <v>36</v>
      </c>
      <c r="E7" s="13" t="s">
        <v>39</v>
      </c>
      <c r="F7">
        <v>800</v>
      </c>
    </row>
    <row r="8" spans="1:6" ht="16.8" x14ac:dyDescent="0.45">
      <c r="A8" s="4" t="s">
        <v>25</v>
      </c>
      <c r="B8" s="8" t="s">
        <v>26</v>
      </c>
      <c r="C8" s="5">
        <v>108</v>
      </c>
      <c r="E8" s="13" t="s">
        <v>90</v>
      </c>
      <c r="F8">
        <v>888</v>
      </c>
    </row>
    <row r="9" spans="1:6" ht="16.8" x14ac:dyDescent="0.45">
      <c r="A9" s="4" t="s">
        <v>29</v>
      </c>
      <c r="B9" s="8" t="s">
        <v>30</v>
      </c>
      <c r="C9" s="5">
        <v>144</v>
      </c>
      <c r="E9" s="13" t="s">
        <v>96</v>
      </c>
      <c r="F9">
        <v>1728</v>
      </c>
    </row>
    <row r="10" spans="1:6" ht="17.399999999999999" thickBot="1" x14ac:dyDescent="0.5">
      <c r="A10" s="6" t="s">
        <v>33</v>
      </c>
      <c r="B10" s="10" t="s">
        <v>34</v>
      </c>
      <c r="C10" s="7">
        <v>126</v>
      </c>
      <c r="E10" s="13" t="s">
        <v>99</v>
      </c>
      <c r="F10">
        <v>1728</v>
      </c>
    </row>
    <row r="11" spans="1:6" ht="16.8" x14ac:dyDescent="0.45">
      <c r="A11" s="2" t="s">
        <v>1</v>
      </c>
      <c r="B11" s="8" t="s">
        <v>2</v>
      </c>
      <c r="C11" s="3">
        <v>180</v>
      </c>
      <c r="E11" s="13" t="s">
        <v>161</v>
      </c>
      <c r="F11">
        <v>768</v>
      </c>
    </row>
    <row r="12" spans="1:6" ht="16.8" x14ac:dyDescent="0.45">
      <c r="A12" s="4" t="s">
        <v>5</v>
      </c>
      <c r="B12" s="8" t="s">
        <v>6</v>
      </c>
      <c r="C12" s="5">
        <v>120</v>
      </c>
      <c r="E12" s="13" t="s">
        <v>170</v>
      </c>
      <c r="F12">
        <v>600</v>
      </c>
    </row>
    <row r="13" spans="1:6" ht="16.8" x14ac:dyDescent="0.45">
      <c r="A13" s="4" t="s">
        <v>9</v>
      </c>
      <c r="B13" s="8" t="s">
        <v>10</v>
      </c>
      <c r="C13" s="5">
        <v>60</v>
      </c>
      <c r="E13" s="13" t="s">
        <v>164</v>
      </c>
      <c r="F13">
        <v>1200</v>
      </c>
    </row>
    <row r="14" spans="1:6" ht="16.8" x14ac:dyDescent="0.45">
      <c r="A14" s="4" t="s">
        <v>13</v>
      </c>
      <c r="B14" s="11" t="s">
        <v>271</v>
      </c>
      <c r="C14" s="5">
        <v>144</v>
      </c>
      <c r="E14" s="14" t="s">
        <v>42</v>
      </c>
      <c r="F14">
        <v>5000</v>
      </c>
    </row>
    <row r="15" spans="1:6" ht="16.8" x14ac:dyDescent="0.45">
      <c r="A15" s="4" t="s">
        <v>268</v>
      </c>
      <c r="B15" s="8" t="s">
        <v>18</v>
      </c>
      <c r="C15" s="5">
        <v>144</v>
      </c>
      <c r="E15" s="14" t="s">
        <v>45</v>
      </c>
      <c r="F15">
        <v>5000</v>
      </c>
    </row>
    <row r="16" spans="1:6" ht="16.8" x14ac:dyDescent="0.45">
      <c r="A16" s="4" t="s">
        <v>21</v>
      </c>
      <c r="B16" s="11" t="s">
        <v>272</v>
      </c>
      <c r="C16" s="5">
        <v>84</v>
      </c>
      <c r="E16" s="13" t="s">
        <v>102</v>
      </c>
      <c r="F16">
        <v>300</v>
      </c>
    </row>
    <row r="17" spans="1:6" ht="16.8" x14ac:dyDescent="0.45">
      <c r="A17" s="4" t="s">
        <v>25</v>
      </c>
      <c r="B17" s="8" t="s">
        <v>26</v>
      </c>
      <c r="C17" s="5">
        <v>180</v>
      </c>
      <c r="E17" s="13" t="s">
        <v>105</v>
      </c>
      <c r="F17">
        <v>180</v>
      </c>
    </row>
    <row r="18" spans="1:6" ht="16.8" x14ac:dyDescent="0.45">
      <c r="A18" s="4" t="s">
        <v>29</v>
      </c>
      <c r="B18" s="8" t="s">
        <v>30</v>
      </c>
      <c r="C18" s="5">
        <v>36</v>
      </c>
      <c r="E18" s="13" t="s">
        <v>246</v>
      </c>
      <c r="F18">
        <v>1260</v>
      </c>
    </row>
    <row r="19" spans="1:6" ht="17.399999999999999" thickBot="1" x14ac:dyDescent="0.5">
      <c r="A19" s="6" t="s">
        <v>33</v>
      </c>
      <c r="B19" s="10" t="s">
        <v>34</v>
      </c>
      <c r="C19" s="7">
        <v>18</v>
      </c>
      <c r="E19" s="13" t="s">
        <v>185</v>
      </c>
      <c r="F19">
        <v>640</v>
      </c>
    </row>
    <row r="20" spans="1:6" ht="16.8" x14ac:dyDescent="0.45">
      <c r="A20" s="2" t="s">
        <v>1</v>
      </c>
      <c r="B20" s="8" t="s">
        <v>2</v>
      </c>
      <c r="C20" s="3">
        <v>180</v>
      </c>
      <c r="E20" s="13" t="s">
        <v>188</v>
      </c>
      <c r="F20">
        <v>640</v>
      </c>
    </row>
    <row r="21" spans="1:6" ht="16.8" x14ac:dyDescent="0.45">
      <c r="A21" s="4" t="s">
        <v>5</v>
      </c>
      <c r="B21" s="8" t="s">
        <v>6</v>
      </c>
      <c r="C21" s="5">
        <v>120</v>
      </c>
      <c r="E21" s="13" t="s">
        <v>191</v>
      </c>
      <c r="F21">
        <v>180</v>
      </c>
    </row>
    <row r="22" spans="1:6" ht="16.8" x14ac:dyDescent="0.45">
      <c r="A22" s="4" t="s">
        <v>9</v>
      </c>
      <c r="B22" s="8" t="s">
        <v>10</v>
      </c>
      <c r="C22" s="5">
        <v>120</v>
      </c>
      <c r="E22" s="13" t="s">
        <v>155</v>
      </c>
      <c r="F22">
        <v>1700</v>
      </c>
    </row>
    <row r="23" spans="1:6" ht="16.8" x14ac:dyDescent="0.45">
      <c r="A23" s="4" t="s">
        <v>13</v>
      </c>
      <c r="B23" s="11" t="s">
        <v>271</v>
      </c>
      <c r="C23" s="5">
        <v>144</v>
      </c>
      <c r="E23" s="13" t="s">
        <v>131</v>
      </c>
      <c r="F23">
        <v>576</v>
      </c>
    </row>
    <row r="24" spans="1:6" ht="16.8" x14ac:dyDescent="0.45">
      <c r="A24" s="4" t="s">
        <v>268</v>
      </c>
      <c r="B24" s="8" t="s">
        <v>18</v>
      </c>
      <c r="C24" s="5">
        <v>36</v>
      </c>
      <c r="E24" s="13" t="s">
        <v>158</v>
      </c>
      <c r="F24">
        <v>1500</v>
      </c>
    </row>
    <row r="25" spans="1:6" ht="16.8" x14ac:dyDescent="0.45">
      <c r="A25" s="4" t="s">
        <v>21</v>
      </c>
      <c r="B25" s="11" t="s">
        <v>272</v>
      </c>
      <c r="C25" s="5">
        <v>36</v>
      </c>
      <c r="E25" s="14" t="s">
        <v>9</v>
      </c>
      <c r="F25">
        <v>240</v>
      </c>
    </row>
    <row r="26" spans="1:6" ht="16.8" x14ac:dyDescent="0.45">
      <c r="A26" s="4" t="s">
        <v>25</v>
      </c>
      <c r="B26" s="8" t="s">
        <v>26</v>
      </c>
      <c r="C26" s="5">
        <v>216</v>
      </c>
      <c r="E26" s="14" t="s">
        <v>5</v>
      </c>
      <c r="F26">
        <v>300</v>
      </c>
    </row>
    <row r="27" spans="1:6" ht="16.8" x14ac:dyDescent="0.45">
      <c r="A27" s="4" t="s">
        <v>29</v>
      </c>
      <c r="B27" s="8" t="s">
        <v>30</v>
      </c>
      <c r="C27" s="5">
        <v>126</v>
      </c>
      <c r="E27" s="14" t="s">
        <v>1</v>
      </c>
      <c r="F27">
        <v>580</v>
      </c>
    </row>
    <row r="28" spans="1:6" ht="17.399999999999999" thickBot="1" x14ac:dyDescent="0.5">
      <c r="A28" s="6" t="s">
        <v>33</v>
      </c>
      <c r="B28" s="10" t="s">
        <v>34</v>
      </c>
      <c r="C28" s="7">
        <v>90</v>
      </c>
      <c r="E28" s="14" t="s">
        <v>13</v>
      </c>
      <c r="F28">
        <v>504</v>
      </c>
    </row>
    <row r="29" spans="1:6" ht="16.8" x14ac:dyDescent="0.45">
      <c r="A29" s="2" t="s">
        <v>1</v>
      </c>
      <c r="B29" s="8" t="s">
        <v>2</v>
      </c>
      <c r="C29" s="3">
        <v>40</v>
      </c>
      <c r="E29" s="14" t="s">
        <v>268</v>
      </c>
      <c r="F29">
        <v>336</v>
      </c>
    </row>
    <row r="30" spans="1:6" ht="16.8" x14ac:dyDescent="0.45">
      <c r="A30" s="4" t="s">
        <v>268</v>
      </c>
      <c r="B30" s="8" t="s">
        <v>18</v>
      </c>
      <c r="C30" s="5">
        <v>120</v>
      </c>
      <c r="E30" s="14" t="s">
        <v>21</v>
      </c>
      <c r="F30">
        <v>240</v>
      </c>
    </row>
    <row r="31" spans="1:6" ht="16.8" x14ac:dyDescent="0.45">
      <c r="A31" s="4" t="s">
        <v>21</v>
      </c>
      <c r="B31" s="11" t="s">
        <v>272</v>
      </c>
      <c r="C31" s="5">
        <v>84</v>
      </c>
      <c r="E31" s="14" t="s">
        <v>25</v>
      </c>
      <c r="F31">
        <v>576</v>
      </c>
    </row>
    <row r="32" spans="1:6" ht="16.8" x14ac:dyDescent="0.45">
      <c r="A32" s="4" t="s">
        <v>25</v>
      </c>
      <c r="B32" s="8" t="s">
        <v>26</v>
      </c>
      <c r="C32" s="5">
        <v>72</v>
      </c>
      <c r="E32" s="14" t="s">
        <v>29</v>
      </c>
      <c r="F32">
        <v>306</v>
      </c>
    </row>
    <row r="33" spans="1:6" ht="16.8" x14ac:dyDescent="0.45">
      <c r="A33" s="4" t="s">
        <v>36</v>
      </c>
      <c r="B33" s="8" t="s">
        <v>37</v>
      </c>
      <c r="C33" s="5">
        <v>800</v>
      </c>
      <c r="E33" s="14" t="s">
        <v>33</v>
      </c>
      <c r="F33">
        <v>234</v>
      </c>
    </row>
    <row r="34" spans="1:6" ht="16.8" x14ac:dyDescent="0.45">
      <c r="A34" s="4" t="s">
        <v>39</v>
      </c>
      <c r="B34" s="8" t="s">
        <v>40</v>
      </c>
      <c r="C34" s="5">
        <v>800</v>
      </c>
      <c r="E34" s="13" t="s">
        <v>275</v>
      </c>
      <c r="F34">
        <v>35004</v>
      </c>
    </row>
    <row r="35" spans="1:6" ht="16.8" x14ac:dyDescent="0.45">
      <c r="A35" s="4" t="s">
        <v>42</v>
      </c>
      <c r="B35" s="8" t="s">
        <v>43</v>
      </c>
      <c r="C35" s="5">
        <v>5000</v>
      </c>
    </row>
    <row r="36" spans="1:6" ht="16.8" x14ac:dyDescent="0.45">
      <c r="A36" s="4" t="s">
        <v>45</v>
      </c>
      <c r="B36" s="8" t="s">
        <v>46</v>
      </c>
      <c r="C36" s="5">
        <v>5000</v>
      </c>
    </row>
    <row r="37" spans="1:6" ht="16.8" x14ac:dyDescent="0.45">
      <c r="A37" s="4" t="s">
        <v>90</v>
      </c>
      <c r="B37" s="8" t="s">
        <v>91</v>
      </c>
      <c r="C37" s="5">
        <v>888</v>
      </c>
    </row>
    <row r="38" spans="1:6" ht="16.8" x14ac:dyDescent="0.45">
      <c r="A38" s="4" t="s">
        <v>96</v>
      </c>
      <c r="B38" s="8" t="s">
        <v>97</v>
      </c>
      <c r="C38" s="5">
        <v>1728</v>
      </c>
    </row>
    <row r="39" spans="1:6" ht="16.8" x14ac:dyDescent="0.45">
      <c r="A39" s="4" t="s">
        <v>99</v>
      </c>
      <c r="B39" s="8" t="s">
        <v>100</v>
      </c>
      <c r="C39" s="5">
        <v>1728</v>
      </c>
    </row>
    <row r="40" spans="1:6" ht="16.8" x14ac:dyDescent="0.45">
      <c r="A40" s="4" t="s">
        <v>102</v>
      </c>
      <c r="B40" s="8" t="s">
        <v>103</v>
      </c>
      <c r="C40" s="5">
        <v>300</v>
      </c>
    </row>
    <row r="41" spans="1:6" ht="16.8" x14ac:dyDescent="0.45">
      <c r="A41" s="4" t="s">
        <v>105</v>
      </c>
      <c r="B41" s="8" t="s">
        <v>106</v>
      </c>
      <c r="C41" s="5">
        <v>180</v>
      </c>
    </row>
    <row r="42" spans="1:6" ht="16.8" x14ac:dyDescent="0.45">
      <c r="A42" s="4" t="s">
        <v>131</v>
      </c>
      <c r="B42" s="8" t="s">
        <v>132</v>
      </c>
      <c r="C42" s="5">
        <v>576</v>
      </c>
    </row>
    <row r="43" spans="1:6" ht="16.8" x14ac:dyDescent="0.45">
      <c r="A43" s="4" t="s">
        <v>155</v>
      </c>
      <c r="B43" s="8" t="s">
        <v>156</v>
      </c>
      <c r="C43" s="5">
        <v>1700</v>
      </c>
    </row>
    <row r="44" spans="1:6" ht="16.8" x14ac:dyDescent="0.45">
      <c r="A44" s="4" t="s">
        <v>158</v>
      </c>
      <c r="B44" s="8" t="s">
        <v>159</v>
      </c>
      <c r="C44" s="5">
        <v>1500</v>
      </c>
    </row>
    <row r="45" spans="1:6" ht="16.8" x14ac:dyDescent="0.45">
      <c r="A45" s="4" t="s">
        <v>161</v>
      </c>
      <c r="B45" s="8" t="s">
        <v>162</v>
      </c>
      <c r="C45" s="5">
        <v>768</v>
      </c>
    </row>
    <row r="46" spans="1:6" ht="16.8" x14ac:dyDescent="0.45">
      <c r="A46" s="4" t="s">
        <v>164</v>
      </c>
      <c r="B46" s="8" t="s">
        <v>165</v>
      </c>
      <c r="C46" s="5">
        <v>1200</v>
      </c>
    </row>
    <row r="47" spans="1:6" ht="16.8" x14ac:dyDescent="0.45">
      <c r="A47" s="4" t="s">
        <v>170</v>
      </c>
      <c r="B47" s="8" t="s">
        <v>171</v>
      </c>
      <c r="C47" s="5">
        <v>600</v>
      </c>
    </row>
    <row r="48" spans="1:6" ht="16.8" x14ac:dyDescent="0.45">
      <c r="A48" s="4" t="s">
        <v>185</v>
      </c>
      <c r="B48" s="8" t="s">
        <v>186</v>
      </c>
      <c r="C48" s="5">
        <v>640</v>
      </c>
    </row>
    <row r="49" spans="1:3" ht="16.8" x14ac:dyDescent="0.45">
      <c r="A49" s="4" t="s">
        <v>188</v>
      </c>
      <c r="B49" s="8" t="s">
        <v>189</v>
      </c>
      <c r="C49" s="5">
        <v>640</v>
      </c>
    </row>
    <row r="50" spans="1:3" ht="16.8" x14ac:dyDescent="0.45">
      <c r="A50" s="4" t="s">
        <v>191</v>
      </c>
      <c r="B50" s="11" t="s">
        <v>192</v>
      </c>
      <c r="C50" s="5">
        <v>180</v>
      </c>
    </row>
    <row r="51" spans="1:3" ht="16.8" x14ac:dyDescent="0.45">
      <c r="A51" s="4" t="s">
        <v>246</v>
      </c>
      <c r="B51" s="8" t="s">
        <v>273</v>
      </c>
      <c r="C51" s="5">
        <v>1260</v>
      </c>
    </row>
    <row r="52" spans="1:3" ht="16.8" x14ac:dyDescent="0.45">
      <c r="A52" s="4" t="s">
        <v>257</v>
      </c>
      <c r="B52" s="11" t="s">
        <v>258</v>
      </c>
      <c r="C52" s="5">
        <v>4000</v>
      </c>
    </row>
    <row r="53" spans="1:3" ht="16.8" x14ac:dyDescent="0.45">
      <c r="A53" s="4" t="s">
        <v>260</v>
      </c>
      <c r="B53" s="8" t="s">
        <v>261</v>
      </c>
      <c r="C53" s="5">
        <v>1000</v>
      </c>
    </row>
    <row r="54" spans="1:3" ht="17.399999999999999" thickBot="1" x14ac:dyDescent="0.5">
      <c r="A54" s="6">
        <v>4370075</v>
      </c>
      <c r="B54" s="10" t="s">
        <v>263</v>
      </c>
      <c r="C54" s="7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Adient Seating Spain</vt:lpstr>
      <vt:lpstr>Adient Kinetra</vt:lpstr>
      <vt:lpstr>Tesca Spain</vt:lpstr>
      <vt:lpstr>Tesca Morocco </vt:lpstr>
      <vt:lpstr>Sage Italy</vt:lpstr>
      <vt:lpstr>Sage Kintra</vt:lpstr>
      <vt:lpstr>Sheet1</vt:lpstr>
      <vt:lpstr>4x40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mohamed2018112</dc:creator>
  <cp:lastModifiedBy>mohamed2018112</cp:lastModifiedBy>
  <dcterms:created xsi:type="dcterms:W3CDTF">2025-05-25T05:20:49Z</dcterms:created>
  <dcterms:modified xsi:type="dcterms:W3CDTF">2026-08-19T06:30:01Z</dcterms:modified>
</cp:coreProperties>
</file>