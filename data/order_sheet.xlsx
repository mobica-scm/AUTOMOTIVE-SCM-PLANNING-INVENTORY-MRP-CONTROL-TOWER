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OBICA\Citroen\important sheets\"/>
    </mc:Choice>
  </mc:AlternateContent>
  <xr:revisionPtr revIDLastSave="0" documentId="13_ncr:1_{863080D8-B310-488A-87DF-12B41513219B}" xr6:coauthVersionLast="47" xr6:coauthVersionMax="47" xr10:uidLastSave="{00000000-0000-0000-0000-000000000000}"/>
  <bookViews>
    <workbookView xWindow="-108" yWindow="-108" windowWidth="23256" windowHeight="12456" activeTab="4" xr2:uid="{C50A3A89-97DE-42BF-9D37-305C1BBB4BA6}"/>
  </bookViews>
  <sheets>
    <sheet name="Order" sheetId="1" r:id="rId1"/>
    <sheet name="Stock" sheetId="4" r:id="rId2"/>
    <sheet name="Local and semi finished" sheetId="30" state="hidden" r:id="rId3"/>
    <sheet name="2025 Time plan- not updated" sheetId="12" state="hidden" r:id="rId4"/>
    <sheet name="local" sheetId="32" r:id="rId5"/>
    <sheet name="Required orders" sheetId="31" r:id="rId6"/>
  </sheets>
  <externalReferences>
    <externalReference r:id="rId7"/>
  </externalReferences>
  <definedNames>
    <definedName name="_xlnm._FilterDatabase" localSheetId="0" hidden="1">Order!$A$2:$AA$156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31" l="1"/>
  <c r="F5" i="31"/>
  <c r="G43" i="32"/>
  <c r="F43" i="32"/>
  <c r="G42" i="32"/>
  <c r="F42" i="32"/>
  <c r="G41" i="32"/>
  <c r="F41" i="32"/>
  <c r="G40" i="32"/>
  <c r="F40" i="32"/>
  <c r="G39" i="32"/>
  <c r="F39" i="32"/>
  <c r="G38" i="32"/>
  <c r="F38" i="32"/>
  <c r="G37" i="32"/>
  <c r="F37" i="32"/>
  <c r="G36" i="32"/>
  <c r="F36" i="32"/>
  <c r="G35" i="32"/>
  <c r="F35" i="32"/>
  <c r="G34" i="32"/>
  <c r="F34" i="32"/>
  <c r="G23" i="32"/>
  <c r="G21" i="32"/>
  <c r="F21" i="32"/>
  <c r="H21" i="32" s="1"/>
  <c r="G19" i="32"/>
  <c r="G20" i="32"/>
  <c r="F20" i="32"/>
  <c r="G12" i="32"/>
  <c r="F12" i="32"/>
  <c r="G9" i="32"/>
  <c r="F9" i="32"/>
  <c r="G3" i="32"/>
  <c r="G5" i="32" s="1"/>
  <c r="F3" i="32"/>
  <c r="F8" i="32" s="1"/>
  <c r="P2" i="1"/>
  <c r="Q2" i="1"/>
  <c r="C10" i="31"/>
  <c r="B10" i="31"/>
  <c r="G28" i="30"/>
  <c r="G27" i="30"/>
  <c r="F28" i="30"/>
  <c r="F27" i="30"/>
  <c r="F14" i="30"/>
  <c r="F23" i="30" s="1"/>
  <c r="G14" i="30"/>
  <c r="G18" i="30" s="1"/>
  <c r="G16" i="30"/>
  <c r="G32" i="30"/>
  <c r="H32" i="30" s="1"/>
  <c r="G33" i="30"/>
  <c r="G34" i="30"/>
  <c r="G35" i="30"/>
  <c r="G36" i="30"/>
  <c r="G37" i="30"/>
  <c r="G38" i="30"/>
  <c r="H38" i="30" s="1"/>
  <c r="G39" i="30"/>
  <c r="G40" i="30"/>
  <c r="G41" i="30"/>
  <c r="H41" i="30" s="1"/>
  <c r="F33" i="30"/>
  <c r="F37" i="30"/>
  <c r="F38" i="30"/>
  <c r="F39" i="30"/>
  <c r="F40" i="30"/>
  <c r="F41" i="30"/>
  <c r="F32" i="30"/>
  <c r="F34" i="30"/>
  <c r="F35" i="30"/>
  <c r="F36" i="30"/>
  <c r="F1" i="30"/>
  <c r="F10" i="30" s="1"/>
  <c r="G1" i="30"/>
  <c r="H40" i="32" l="1"/>
  <c r="H42" i="32"/>
  <c r="H43" i="32"/>
  <c r="H20" i="32"/>
  <c r="F25" i="32"/>
  <c r="G6" i="32"/>
  <c r="H6" i="32" s="1"/>
  <c r="F18" i="32"/>
  <c r="G30" i="32"/>
  <c r="F6" i="32"/>
  <c r="G29" i="32"/>
  <c r="F7" i="32"/>
  <c r="G18" i="32"/>
  <c r="H34" i="32"/>
  <c r="F22" i="32"/>
  <c r="G8" i="32"/>
  <c r="H8" i="32" s="1"/>
  <c r="F23" i="32"/>
  <c r="H23" i="32" s="1"/>
  <c r="F30" i="32"/>
  <c r="H36" i="32"/>
  <c r="H37" i="32"/>
  <c r="F11" i="32"/>
  <c r="F19" i="32"/>
  <c r="H19" i="32" s="1"/>
  <c r="F24" i="32"/>
  <c r="H9" i="32"/>
  <c r="H41" i="32"/>
  <c r="G11" i="32"/>
  <c r="G24" i="32"/>
  <c r="H38" i="32"/>
  <c r="H12" i="32"/>
  <c r="F29" i="32"/>
  <c r="H35" i="32"/>
  <c r="H39" i="32"/>
  <c r="G7" i="32"/>
  <c r="G22" i="32"/>
  <c r="F10" i="32"/>
  <c r="F5" i="32"/>
  <c r="H5" i="32" s="1"/>
  <c r="G10" i="32"/>
  <c r="H10" i="32" s="1"/>
  <c r="G25" i="32"/>
  <c r="H37" i="30"/>
  <c r="H33" i="30"/>
  <c r="H40" i="30"/>
  <c r="H36" i="30"/>
  <c r="G17" i="30"/>
  <c r="H39" i="30"/>
  <c r="H35" i="30"/>
  <c r="H34" i="30"/>
  <c r="G22" i="30"/>
  <c r="G21" i="30"/>
  <c r="G20" i="30"/>
  <c r="G19" i="30"/>
  <c r="G23" i="30"/>
  <c r="H23" i="30" s="1"/>
  <c r="F22" i="30"/>
  <c r="F21" i="30"/>
  <c r="F20" i="30"/>
  <c r="F18" i="30"/>
  <c r="H18" i="30" s="1"/>
  <c r="F16" i="30"/>
  <c r="H16" i="30" s="1"/>
  <c r="F19" i="30"/>
  <c r="H19" i="30" s="1"/>
  <c r="F17" i="30"/>
  <c r="H17" i="30" s="1"/>
  <c r="G3" i="30"/>
  <c r="G10" i="30"/>
  <c r="H10" i="30" s="1"/>
  <c r="G8" i="30"/>
  <c r="G7" i="30"/>
  <c r="G9" i="30"/>
  <c r="G5" i="30"/>
  <c r="F9" i="30"/>
  <c r="F7" i="30"/>
  <c r="F6" i="30"/>
  <c r="F5" i="30"/>
  <c r="F8" i="30"/>
  <c r="F3" i="30"/>
  <c r="F4" i="30"/>
  <c r="H28" i="30"/>
  <c r="G6" i="30"/>
  <c r="G4" i="30"/>
  <c r="H29" i="32" l="1"/>
  <c r="H22" i="32"/>
  <c r="H30" i="32"/>
  <c r="H7" i="32"/>
  <c r="H25" i="32"/>
  <c r="H24" i="32"/>
  <c r="H18" i="32"/>
  <c r="H11" i="32"/>
  <c r="H22" i="30"/>
  <c r="H20" i="30"/>
  <c r="H21" i="30"/>
  <c r="H5" i="30"/>
  <c r="H7" i="30"/>
  <c r="H4" i="30"/>
  <c r="H27" i="30"/>
  <c r="H9" i="30"/>
  <c r="H8" i="30"/>
  <c r="H6" i="30"/>
  <c r="H3" i="30"/>
  <c r="K13" i="12" l="1"/>
  <c r="K12" i="12"/>
  <c r="K28" i="12" l="1"/>
  <c r="M31" i="12" l="1"/>
  <c r="M30" i="12"/>
  <c r="S30" i="12" l="1"/>
  <c r="S29" i="12" l="1"/>
  <c r="Q13" i="12"/>
  <c r="P13" i="12"/>
  <c r="Q33" i="12"/>
  <c r="Q32" i="12"/>
  <c r="Q35" i="12"/>
  <c r="I32" i="12" l="1"/>
  <c r="I31" i="12"/>
  <c r="I28" i="12"/>
  <c r="K31" i="12"/>
  <c r="L13" i="12"/>
  <c r="N31" i="12"/>
  <c r="O17" i="12"/>
  <c r="K11" i="12"/>
  <c r="I11" i="12"/>
  <c r="L26" i="12"/>
  <c r="L25" i="12"/>
  <c r="K25" i="12"/>
  <c r="K26" i="12"/>
  <c r="J26" i="12"/>
  <c r="J25" i="12"/>
  <c r="I26" i="12"/>
  <c r="I25" i="12"/>
  <c r="K15" i="12" l="1"/>
  <c r="K14" i="12"/>
  <c r="U108" i="1" l="1"/>
  <c r="W108" i="1" s="1"/>
  <c r="T108" i="1"/>
  <c r="V108" i="1" s="1"/>
  <c r="T75" i="1" l="1"/>
  <c r="U156" i="1"/>
  <c r="W156" i="1" s="1"/>
  <c r="T156" i="1"/>
  <c r="V156" i="1" s="1"/>
  <c r="Q156" i="1"/>
  <c r="P156" i="1"/>
  <c r="U155" i="1"/>
  <c r="W155" i="1" s="1"/>
  <c r="T155" i="1"/>
  <c r="V155" i="1" s="1"/>
  <c r="Q155" i="1"/>
  <c r="P155" i="1"/>
  <c r="U154" i="1"/>
  <c r="W154" i="1" s="1"/>
  <c r="T154" i="1"/>
  <c r="V154" i="1" s="1"/>
  <c r="Q154" i="1"/>
  <c r="P154" i="1"/>
  <c r="U153" i="1"/>
  <c r="W153" i="1" s="1"/>
  <c r="T153" i="1"/>
  <c r="V153" i="1" s="1"/>
  <c r="Q153" i="1"/>
  <c r="P153" i="1"/>
  <c r="U152" i="1"/>
  <c r="W152" i="1" s="1"/>
  <c r="T152" i="1"/>
  <c r="V152" i="1" s="1"/>
  <c r="Q152" i="1"/>
  <c r="P152" i="1"/>
  <c r="U151" i="1"/>
  <c r="W151" i="1" s="1"/>
  <c r="T151" i="1"/>
  <c r="V151" i="1" s="1"/>
  <c r="Q151" i="1"/>
  <c r="P151" i="1"/>
  <c r="U150" i="1"/>
  <c r="W150" i="1" s="1"/>
  <c r="T150" i="1"/>
  <c r="V150" i="1" s="1"/>
  <c r="Q150" i="1"/>
  <c r="P150" i="1"/>
  <c r="U149" i="1"/>
  <c r="W149" i="1" s="1"/>
  <c r="T149" i="1"/>
  <c r="V149" i="1" s="1"/>
  <c r="Q149" i="1"/>
  <c r="P149" i="1"/>
  <c r="U148" i="1"/>
  <c r="W148" i="1" s="1"/>
  <c r="T148" i="1"/>
  <c r="V148" i="1" s="1"/>
  <c r="Q148" i="1"/>
  <c r="P148" i="1"/>
  <c r="U147" i="1"/>
  <c r="W147" i="1" s="1"/>
  <c r="T147" i="1"/>
  <c r="V147" i="1" s="1"/>
  <c r="Q147" i="1"/>
  <c r="P147" i="1"/>
  <c r="R151" i="1" l="1"/>
  <c r="S151" i="1" s="1"/>
  <c r="AA151" i="1" s="1" a="1"/>
  <c r="AA151" i="1" s="1"/>
  <c r="X153" i="1" a="1"/>
  <c r="X153" i="1" s="1"/>
  <c r="X147" i="1" a="1"/>
  <c r="X147" i="1" s="1"/>
  <c r="Y150" i="1" a="1"/>
  <c r="Y150" i="1" s="1"/>
  <c r="R148" i="1"/>
  <c r="S148" i="1" s="1"/>
  <c r="AA148" i="1" s="1" a="1"/>
  <c r="AA148" i="1" s="1"/>
  <c r="R152" i="1"/>
  <c r="S152" i="1" s="1"/>
  <c r="AA152" i="1" s="1" a="1"/>
  <c r="AA152" i="1" s="1"/>
  <c r="R149" i="1"/>
  <c r="S149" i="1" s="1"/>
  <c r="AA149" i="1" s="1" a="1"/>
  <c r="AA149" i="1" s="1"/>
  <c r="R156" i="1"/>
  <c r="S156" i="1" s="1"/>
  <c r="AA156" i="1" s="1" a="1"/>
  <c r="AA156" i="1" s="1"/>
  <c r="R155" i="1"/>
  <c r="S155" i="1" s="1"/>
  <c r="AA155" i="1" s="1" a="1"/>
  <c r="AA155" i="1" s="1"/>
  <c r="R150" i="1"/>
  <c r="S150" i="1" s="1"/>
  <c r="AA150" i="1" s="1" a="1"/>
  <c r="AA150" i="1" s="1"/>
  <c r="Y152" i="1" a="1"/>
  <c r="Y152" i="1" s="1"/>
  <c r="X152" i="1" a="1"/>
  <c r="X152" i="1" s="1"/>
  <c r="X150" i="1" a="1"/>
  <c r="X150" i="1" s="1"/>
  <c r="Y156" i="1" a="1"/>
  <c r="Y156" i="1" s="1"/>
  <c r="X156" i="1" a="1"/>
  <c r="X156" i="1" s="1"/>
  <c r="Y155" i="1" a="1"/>
  <c r="Y155" i="1" s="1"/>
  <c r="X155" i="1" a="1"/>
  <c r="X155" i="1" s="1"/>
  <c r="X151" i="1" a="1"/>
  <c r="X151" i="1" s="1"/>
  <c r="Y151" i="1" a="1"/>
  <c r="Y151" i="1" s="1"/>
  <c r="Y147" i="1" a="1"/>
  <c r="Y147" i="1" s="1"/>
  <c r="R147" i="1"/>
  <c r="S147" i="1" s="1"/>
  <c r="AA147" i="1" s="1" a="1"/>
  <c r="AA147" i="1" s="1"/>
  <c r="Y148" i="1" a="1"/>
  <c r="Y148" i="1" s="1"/>
  <c r="X148" i="1" a="1"/>
  <c r="X148" i="1" s="1"/>
  <c r="X149" i="1" a="1"/>
  <c r="X149" i="1" s="1"/>
  <c r="Y149" i="1" a="1"/>
  <c r="Y149" i="1" s="1"/>
  <c r="Y153" i="1" a="1"/>
  <c r="Y153" i="1" s="1"/>
  <c r="R153" i="1"/>
  <c r="S153" i="1" s="1"/>
  <c r="AA153" i="1" s="1" a="1"/>
  <c r="AA153" i="1" s="1"/>
  <c r="R154" i="1"/>
  <c r="S154" i="1" s="1"/>
  <c r="AA154" i="1" s="1" a="1"/>
  <c r="AA154" i="1" s="1"/>
  <c r="X154" i="1" a="1"/>
  <c r="X154" i="1" s="1"/>
  <c r="Y154" i="1" a="1"/>
  <c r="Y154" i="1" s="1"/>
  <c r="Z150" i="1" l="1" a="1"/>
  <c r="Z150" i="1" s="1"/>
  <c r="Z153" i="1" a="1"/>
  <c r="Z153" i="1" s="1"/>
  <c r="Z147" i="1" a="1"/>
  <c r="Z147" i="1" s="1"/>
  <c r="Z152" i="1" a="1"/>
  <c r="Z152" i="1" s="1"/>
  <c r="Z156" i="1" a="1"/>
  <c r="Z156" i="1" s="1"/>
  <c r="Z151" i="1" a="1"/>
  <c r="Z151" i="1" s="1"/>
  <c r="Z155" i="1" a="1"/>
  <c r="Z155" i="1" s="1"/>
  <c r="Z148" i="1" a="1"/>
  <c r="Z148" i="1" s="1"/>
  <c r="Z149" i="1" a="1"/>
  <c r="Z149" i="1" s="1"/>
  <c r="Z154" i="1" a="1"/>
  <c r="Z154" i="1" s="1"/>
  <c r="D146" i="4" l="1"/>
  <c r="D145" i="4"/>
  <c r="D144" i="4"/>
  <c r="Q89" i="1"/>
  <c r="U89" i="1"/>
  <c r="W89" i="1" s="1"/>
  <c r="P89" i="1"/>
  <c r="T89" i="1"/>
  <c r="V89" i="1" s="1"/>
  <c r="Q88" i="1"/>
  <c r="U88" i="1"/>
  <c r="W88" i="1" s="1"/>
  <c r="P88" i="1"/>
  <c r="T88" i="1"/>
  <c r="V88" i="1" s="1"/>
  <c r="Q87" i="1"/>
  <c r="U87" i="1"/>
  <c r="W87" i="1" s="1"/>
  <c r="P87" i="1"/>
  <c r="T87" i="1"/>
  <c r="V87" i="1" s="1"/>
  <c r="U4" i="1"/>
  <c r="W4" i="1" s="1"/>
  <c r="U5" i="1"/>
  <c r="W5" i="1" s="1"/>
  <c r="U6" i="1"/>
  <c r="W6" i="1" s="1"/>
  <c r="U7" i="1"/>
  <c r="W7" i="1" s="1"/>
  <c r="U8" i="1"/>
  <c r="W8" i="1" s="1"/>
  <c r="U9" i="1"/>
  <c r="W9" i="1" s="1"/>
  <c r="U10" i="1"/>
  <c r="W10" i="1" s="1"/>
  <c r="U11" i="1"/>
  <c r="W11" i="1" s="1"/>
  <c r="U12" i="1"/>
  <c r="W12" i="1" s="1"/>
  <c r="U13" i="1"/>
  <c r="W13" i="1" s="1"/>
  <c r="U14" i="1"/>
  <c r="W14" i="1" s="1"/>
  <c r="U15" i="1"/>
  <c r="W15" i="1" s="1"/>
  <c r="U16" i="1"/>
  <c r="W16" i="1" s="1"/>
  <c r="U17" i="1"/>
  <c r="W17" i="1" s="1"/>
  <c r="U18" i="1"/>
  <c r="W18" i="1" s="1"/>
  <c r="U19" i="1"/>
  <c r="W19" i="1" s="1"/>
  <c r="U20" i="1"/>
  <c r="W20" i="1" s="1"/>
  <c r="U21" i="1"/>
  <c r="W21" i="1" s="1"/>
  <c r="U23" i="1"/>
  <c r="W23" i="1" s="1"/>
  <c r="U24" i="1"/>
  <c r="W24" i="1" s="1"/>
  <c r="U25" i="1"/>
  <c r="W25" i="1" s="1"/>
  <c r="U26" i="1"/>
  <c r="W26" i="1" s="1"/>
  <c r="U27" i="1"/>
  <c r="W27" i="1" s="1"/>
  <c r="U28" i="1"/>
  <c r="W28" i="1" s="1"/>
  <c r="U29" i="1"/>
  <c r="W29" i="1" s="1"/>
  <c r="U30" i="1"/>
  <c r="W30" i="1" s="1"/>
  <c r="U31" i="1"/>
  <c r="W31" i="1" s="1"/>
  <c r="U32" i="1"/>
  <c r="W32" i="1" s="1"/>
  <c r="U33" i="1"/>
  <c r="W33" i="1" s="1"/>
  <c r="U34" i="1"/>
  <c r="W34" i="1" s="1"/>
  <c r="U35" i="1"/>
  <c r="W35" i="1" s="1"/>
  <c r="U22" i="1"/>
  <c r="W22" i="1" s="1"/>
  <c r="U36" i="1"/>
  <c r="W36" i="1" s="1"/>
  <c r="U37" i="1"/>
  <c r="W37" i="1" s="1"/>
  <c r="U38" i="1"/>
  <c r="W38" i="1" s="1"/>
  <c r="U39" i="1"/>
  <c r="W39" i="1" s="1"/>
  <c r="U40" i="1"/>
  <c r="W40" i="1" s="1"/>
  <c r="U41" i="1"/>
  <c r="W41" i="1" s="1"/>
  <c r="U42" i="1"/>
  <c r="W42" i="1" s="1"/>
  <c r="U43" i="1"/>
  <c r="W43" i="1" s="1"/>
  <c r="U44" i="1"/>
  <c r="W44" i="1" s="1"/>
  <c r="U45" i="1"/>
  <c r="W45" i="1" s="1"/>
  <c r="U46" i="1"/>
  <c r="W46" i="1" s="1"/>
  <c r="U47" i="1"/>
  <c r="W47" i="1" s="1"/>
  <c r="U48" i="1"/>
  <c r="W48" i="1" s="1"/>
  <c r="U49" i="1"/>
  <c r="W49" i="1" s="1"/>
  <c r="U50" i="1"/>
  <c r="W50" i="1" s="1"/>
  <c r="U51" i="1"/>
  <c r="W51" i="1" s="1"/>
  <c r="U52" i="1"/>
  <c r="W52" i="1" s="1"/>
  <c r="U53" i="1"/>
  <c r="W53" i="1" s="1"/>
  <c r="U54" i="1"/>
  <c r="W54" i="1" s="1"/>
  <c r="U55" i="1"/>
  <c r="W55" i="1" s="1"/>
  <c r="U56" i="1"/>
  <c r="W56" i="1" s="1"/>
  <c r="U57" i="1"/>
  <c r="W57" i="1" s="1"/>
  <c r="U58" i="1"/>
  <c r="W58" i="1" s="1"/>
  <c r="U59" i="1"/>
  <c r="W59" i="1" s="1"/>
  <c r="U60" i="1"/>
  <c r="W60" i="1" s="1"/>
  <c r="U61" i="1"/>
  <c r="W61" i="1" s="1"/>
  <c r="U62" i="1"/>
  <c r="W62" i="1" s="1"/>
  <c r="U63" i="1"/>
  <c r="W63" i="1" s="1"/>
  <c r="U64" i="1"/>
  <c r="W64" i="1" s="1"/>
  <c r="U65" i="1"/>
  <c r="W65" i="1" s="1"/>
  <c r="U66" i="1"/>
  <c r="W66" i="1" s="1"/>
  <c r="U67" i="1"/>
  <c r="W67" i="1" s="1"/>
  <c r="U68" i="1"/>
  <c r="W68" i="1" s="1"/>
  <c r="U69" i="1"/>
  <c r="W69" i="1" s="1"/>
  <c r="U70" i="1"/>
  <c r="W70" i="1" s="1"/>
  <c r="U71" i="1"/>
  <c r="W71" i="1" s="1"/>
  <c r="U72" i="1"/>
  <c r="W72" i="1" s="1"/>
  <c r="U73" i="1"/>
  <c r="W73" i="1" s="1"/>
  <c r="U74" i="1"/>
  <c r="W74" i="1" s="1"/>
  <c r="U75" i="1"/>
  <c r="W75" i="1" s="1"/>
  <c r="U76" i="1"/>
  <c r="W76" i="1" s="1"/>
  <c r="U77" i="1"/>
  <c r="W77" i="1" s="1"/>
  <c r="U78" i="1"/>
  <c r="W78" i="1" s="1"/>
  <c r="U79" i="1"/>
  <c r="W79" i="1" s="1"/>
  <c r="U80" i="1"/>
  <c r="W80" i="1" s="1"/>
  <c r="U81" i="1"/>
  <c r="W81" i="1" s="1"/>
  <c r="U82" i="1"/>
  <c r="W82" i="1" s="1"/>
  <c r="U83" i="1"/>
  <c r="W83" i="1" s="1"/>
  <c r="U84" i="1"/>
  <c r="W84" i="1" s="1"/>
  <c r="U85" i="1"/>
  <c r="W85" i="1" s="1"/>
  <c r="U86" i="1"/>
  <c r="W86" i="1" s="1"/>
  <c r="U90" i="1"/>
  <c r="W90" i="1" s="1"/>
  <c r="U91" i="1"/>
  <c r="W91" i="1" s="1"/>
  <c r="U92" i="1"/>
  <c r="W92" i="1" s="1"/>
  <c r="U93" i="1"/>
  <c r="W93" i="1" s="1"/>
  <c r="U94" i="1"/>
  <c r="W94" i="1" s="1"/>
  <c r="U95" i="1"/>
  <c r="W95" i="1" s="1"/>
  <c r="U96" i="1"/>
  <c r="W96" i="1" s="1"/>
  <c r="U97" i="1"/>
  <c r="W97" i="1" s="1"/>
  <c r="U98" i="1"/>
  <c r="W98" i="1" s="1"/>
  <c r="U99" i="1"/>
  <c r="W99" i="1" s="1"/>
  <c r="U100" i="1"/>
  <c r="W100" i="1" s="1"/>
  <c r="U101" i="1"/>
  <c r="W101" i="1" s="1"/>
  <c r="U102" i="1"/>
  <c r="W102" i="1" s="1"/>
  <c r="U103" i="1"/>
  <c r="W103" i="1" s="1"/>
  <c r="U104" i="1"/>
  <c r="W104" i="1" s="1"/>
  <c r="U105" i="1"/>
  <c r="W105" i="1" s="1"/>
  <c r="U106" i="1"/>
  <c r="W106" i="1" s="1"/>
  <c r="U107" i="1"/>
  <c r="W107" i="1" s="1"/>
  <c r="U109" i="1"/>
  <c r="W109" i="1" s="1"/>
  <c r="U110" i="1"/>
  <c r="W110" i="1" s="1"/>
  <c r="U111" i="1"/>
  <c r="W111" i="1" s="1"/>
  <c r="U112" i="1"/>
  <c r="W112" i="1" s="1"/>
  <c r="U113" i="1"/>
  <c r="W113" i="1" s="1"/>
  <c r="U114" i="1"/>
  <c r="W114" i="1" s="1"/>
  <c r="U115" i="1"/>
  <c r="W115" i="1" s="1"/>
  <c r="U116" i="1"/>
  <c r="W116" i="1" s="1"/>
  <c r="U117" i="1"/>
  <c r="W117" i="1" s="1"/>
  <c r="U118" i="1"/>
  <c r="W118" i="1" s="1"/>
  <c r="U119" i="1"/>
  <c r="W119" i="1" s="1"/>
  <c r="U120" i="1"/>
  <c r="W120" i="1" s="1"/>
  <c r="U121" i="1"/>
  <c r="W121" i="1" s="1"/>
  <c r="U122" i="1"/>
  <c r="W122" i="1" s="1"/>
  <c r="U123" i="1"/>
  <c r="W123" i="1" s="1"/>
  <c r="U124" i="1"/>
  <c r="W124" i="1" s="1"/>
  <c r="U125" i="1"/>
  <c r="W125" i="1" s="1"/>
  <c r="U126" i="1"/>
  <c r="W126" i="1" s="1"/>
  <c r="U127" i="1"/>
  <c r="W127" i="1" s="1"/>
  <c r="U128" i="1"/>
  <c r="W128" i="1" s="1"/>
  <c r="U129" i="1"/>
  <c r="W129" i="1" s="1"/>
  <c r="U130" i="1"/>
  <c r="W130" i="1" s="1"/>
  <c r="U131" i="1"/>
  <c r="W131" i="1" s="1"/>
  <c r="U132" i="1"/>
  <c r="W132" i="1" s="1"/>
  <c r="U133" i="1"/>
  <c r="W133" i="1" s="1"/>
  <c r="U134" i="1"/>
  <c r="W134" i="1" s="1"/>
  <c r="U135" i="1"/>
  <c r="W135" i="1" s="1"/>
  <c r="U136" i="1"/>
  <c r="W136" i="1" s="1"/>
  <c r="U137" i="1"/>
  <c r="W137" i="1" s="1"/>
  <c r="U138" i="1"/>
  <c r="W138" i="1" s="1"/>
  <c r="U139" i="1"/>
  <c r="W139" i="1" s="1"/>
  <c r="U140" i="1"/>
  <c r="W140" i="1" s="1"/>
  <c r="U141" i="1"/>
  <c r="W141" i="1" s="1"/>
  <c r="U142" i="1"/>
  <c r="W142" i="1" s="1"/>
  <c r="U143" i="1"/>
  <c r="W143" i="1" s="1"/>
  <c r="U144" i="1"/>
  <c r="W144" i="1" s="1"/>
  <c r="U145" i="1"/>
  <c r="W145" i="1" s="1"/>
  <c r="U146" i="1"/>
  <c r="W146" i="1" s="1"/>
  <c r="U3" i="1"/>
  <c r="W3" i="1" s="1"/>
  <c r="T11" i="1"/>
  <c r="V11" i="1" s="1"/>
  <c r="T100" i="1"/>
  <c r="V100" i="1" s="1"/>
  <c r="T4" i="1"/>
  <c r="V4" i="1" s="1"/>
  <c r="T5" i="1"/>
  <c r="V5" i="1" s="1"/>
  <c r="T6" i="1"/>
  <c r="V6" i="1" s="1"/>
  <c r="T7" i="1"/>
  <c r="V7" i="1" s="1"/>
  <c r="T8" i="1"/>
  <c r="V8" i="1" s="1"/>
  <c r="T9" i="1"/>
  <c r="V9" i="1" s="1"/>
  <c r="T10" i="1"/>
  <c r="V10" i="1" s="1"/>
  <c r="T12" i="1"/>
  <c r="V12" i="1" s="1"/>
  <c r="T13" i="1"/>
  <c r="V13" i="1" s="1"/>
  <c r="T14" i="1"/>
  <c r="V14" i="1" s="1"/>
  <c r="T15" i="1"/>
  <c r="V15" i="1" s="1"/>
  <c r="T16" i="1"/>
  <c r="V16" i="1" s="1"/>
  <c r="T17" i="1"/>
  <c r="V17" i="1" s="1"/>
  <c r="T18" i="1"/>
  <c r="V18" i="1" s="1"/>
  <c r="T19" i="1"/>
  <c r="V19" i="1" s="1"/>
  <c r="T20" i="1"/>
  <c r="V20" i="1" s="1"/>
  <c r="T21" i="1"/>
  <c r="V21" i="1" s="1"/>
  <c r="T23" i="1"/>
  <c r="V23" i="1" s="1"/>
  <c r="T24" i="1"/>
  <c r="V24" i="1" s="1"/>
  <c r="T25" i="1"/>
  <c r="V25" i="1" s="1"/>
  <c r="T26" i="1"/>
  <c r="V26" i="1" s="1"/>
  <c r="T27" i="1"/>
  <c r="V27" i="1" s="1"/>
  <c r="T28" i="1"/>
  <c r="V28" i="1" s="1"/>
  <c r="T29" i="1"/>
  <c r="V29" i="1" s="1"/>
  <c r="T30" i="1"/>
  <c r="V30" i="1" s="1"/>
  <c r="T31" i="1"/>
  <c r="V31" i="1" s="1"/>
  <c r="T32" i="1"/>
  <c r="V32" i="1" s="1"/>
  <c r="T33" i="1"/>
  <c r="V33" i="1" s="1"/>
  <c r="T34" i="1"/>
  <c r="V34" i="1" s="1"/>
  <c r="T35" i="1"/>
  <c r="V35" i="1" s="1"/>
  <c r="T22" i="1"/>
  <c r="V22" i="1" s="1"/>
  <c r="T36" i="1"/>
  <c r="V36" i="1" s="1"/>
  <c r="T37" i="1"/>
  <c r="V37" i="1" s="1"/>
  <c r="T38" i="1"/>
  <c r="V38" i="1" s="1"/>
  <c r="T39" i="1"/>
  <c r="V39" i="1" s="1"/>
  <c r="T40" i="1"/>
  <c r="V40" i="1" s="1"/>
  <c r="T41" i="1"/>
  <c r="V41" i="1" s="1"/>
  <c r="T42" i="1"/>
  <c r="V42" i="1" s="1"/>
  <c r="T43" i="1"/>
  <c r="V43" i="1" s="1"/>
  <c r="T44" i="1"/>
  <c r="V44" i="1" s="1"/>
  <c r="T45" i="1"/>
  <c r="V45" i="1" s="1"/>
  <c r="T46" i="1"/>
  <c r="V46" i="1" s="1"/>
  <c r="T47" i="1"/>
  <c r="V47" i="1" s="1"/>
  <c r="T48" i="1"/>
  <c r="V48" i="1" s="1"/>
  <c r="T49" i="1"/>
  <c r="V49" i="1" s="1"/>
  <c r="T50" i="1"/>
  <c r="V50" i="1" s="1"/>
  <c r="T51" i="1"/>
  <c r="V51" i="1" s="1"/>
  <c r="T52" i="1"/>
  <c r="V52" i="1" s="1"/>
  <c r="T53" i="1"/>
  <c r="V53" i="1" s="1"/>
  <c r="T54" i="1"/>
  <c r="V54" i="1" s="1"/>
  <c r="T55" i="1"/>
  <c r="V55" i="1" s="1"/>
  <c r="T56" i="1"/>
  <c r="V56" i="1" s="1"/>
  <c r="T57" i="1"/>
  <c r="V57" i="1" s="1"/>
  <c r="T58" i="1"/>
  <c r="V58" i="1" s="1"/>
  <c r="T59" i="1"/>
  <c r="V59" i="1" s="1"/>
  <c r="T60" i="1"/>
  <c r="V60" i="1" s="1"/>
  <c r="T61" i="1"/>
  <c r="V61" i="1" s="1"/>
  <c r="T62" i="1"/>
  <c r="V62" i="1" s="1"/>
  <c r="T63" i="1"/>
  <c r="V63" i="1" s="1"/>
  <c r="T64" i="1"/>
  <c r="V64" i="1" s="1"/>
  <c r="T65" i="1"/>
  <c r="V65" i="1" s="1"/>
  <c r="T66" i="1"/>
  <c r="V66" i="1" s="1"/>
  <c r="T67" i="1"/>
  <c r="V67" i="1" s="1"/>
  <c r="T68" i="1"/>
  <c r="V68" i="1" s="1"/>
  <c r="T69" i="1"/>
  <c r="V69" i="1" s="1"/>
  <c r="T70" i="1"/>
  <c r="V70" i="1" s="1"/>
  <c r="T71" i="1"/>
  <c r="V71" i="1" s="1"/>
  <c r="T72" i="1"/>
  <c r="V72" i="1" s="1"/>
  <c r="T73" i="1"/>
  <c r="V73" i="1" s="1"/>
  <c r="T74" i="1"/>
  <c r="V74" i="1" s="1"/>
  <c r="V75" i="1"/>
  <c r="T76" i="1"/>
  <c r="V76" i="1" s="1"/>
  <c r="T77" i="1"/>
  <c r="V77" i="1" s="1"/>
  <c r="T78" i="1"/>
  <c r="V78" i="1" s="1"/>
  <c r="T79" i="1"/>
  <c r="V79" i="1" s="1"/>
  <c r="T80" i="1"/>
  <c r="V80" i="1" s="1"/>
  <c r="T81" i="1"/>
  <c r="V81" i="1" s="1"/>
  <c r="T82" i="1"/>
  <c r="V82" i="1" s="1"/>
  <c r="T83" i="1"/>
  <c r="V83" i="1" s="1"/>
  <c r="T84" i="1"/>
  <c r="V84" i="1" s="1"/>
  <c r="T85" i="1"/>
  <c r="V85" i="1" s="1"/>
  <c r="T86" i="1"/>
  <c r="V86" i="1" s="1"/>
  <c r="T90" i="1"/>
  <c r="V90" i="1" s="1"/>
  <c r="T91" i="1"/>
  <c r="V91" i="1" s="1"/>
  <c r="T92" i="1"/>
  <c r="V92" i="1" s="1"/>
  <c r="T93" i="1"/>
  <c r="V93" i="1" s="1"/>
  <c r="T94" i="1"/>
  <c r="V94" i="1" s="1"/>
  <c r="T95" i="1"/>
  <c r="V95" i="1" s="1"/>
  <c r="T96" i="1"/>
  <c r="V96" i="1" s="1"/>
  <c r="T97" i="1"/>
  <c r="V97" i="1" s="1"/>
  <c r="T98" i="1"/>
  <c r="V98" i="1" s="1"/>
  <c r="T99" i="1"/>
  <c r="V99" i="1" s="1"/>
  <c r="T101" i="1"/>
  <c r="V101" i="1" s="1"/>
  <c r="T102" i="1"/>
  <c r="V102" i="1" s="1"/>
  <c r="T103" i="1"/>
  <c r="V103" i="1" s="1"/>
  <c r="T104" i="1"/>
  <c r="V104" i="1" s="1"/>
  <c r="T105" i="1"/>
  <c r="V105" i="1" s="1"/>
  <c r="T106" i="1"/>
  <c r="V106" i="1" s="1"/>
  <c r="T107" i="1"/>
  <c r="V107" i="1" s="1"/>
  <c r="T109" i="1"/>
  <c r="V109" i="1" s="1"/>
  <c r="T110" i="1"/>
  <c r="V110" i="1" s="1"/>
  <c r="T111" i="1"/>
  <c r="V111" i="1" s="1"/>
  <c r="T112" i="1"/>
  <c r="V112" i="1" s="1"/>
  <c r="T113" i="1"/>
  <c r="V113" i="1" s="1"/>
  <c r="T114" i="1"/>
  <c r="V114" i="1" s="1"/>
  <c r="T115" i="1"/>
  <c r="V115" i="1" s="1"/>
  <c r="T116" i="1"/>
  <c r="V116" i="1" s="1"/>
  <c r="T117" i="1"/>
  <c r="V117" i="1" s="1"/>
  <c r="T118" i="1"/>
  <c r="V118" i="1" s="1"/>
  <c r="T119" i="1"/>
  <c r="V119" i="1" s="1"/>
  <c r="T120" i="1"/>
  <c r="V120" i="1" s="1"/>
  <c r="T121" i="1"/>
  <c r="V121" i="1" s="1"/>
  <c r="T122" i="1"/>
  <c r="V122" i="1" s="1"/>
  <c r="T123" i="1"/>
  <c r="V123" i="1" s="1"/>
  <c r="T124" i="1"/>
  <c r="V124" i="1" s="1"/>
  <c r="T125" i="1"/>
  <c r="V125" i="1" s="1"/>
  <c r="T126" i="1"/>
  <c r="V126" i="1" s="1"/>
  <c r="T127" i="1"/>
  <c r="V127" i="1" s="1"/>
  <c r="T128" i="1"/>
  <c r="V128" i="1" s="1"/>
  <c r="T129" i="1"/>
  <c r="V129" i="1" s="1"/>
  <c r="T130" i="1"/>
  <c r="V130" i="1" s="1"/>
  <c r="T131" i="1"/>
  <c r="V131" i="1" s="1"/>
  <c r="T132" i="1"/>
  <c r="V132" i="1" s="1"/>
  <c r="T133" i="1"/>
  <c r="V133" i="1" s="1"/>
  <c r="T134" i="1"/>
  <c r="V134" i="1" s="1"/>
  <c r="T135" i="1"/>
  <c r="V135" i="1" s="1"/>
  <c r="T136" i="1"/>
  <c r="V136" i="1" s="1"/>
  <c r="T137" i="1"/>
  <c r="V137" i="1" s="1"/>
  <c r="T138" i="1"/>
  <c r="V138" i="1" s="1"/>
  <c r="T139" i="1"/>
  <c r="V139" i="1" s="1"/>
  <c r="T140" i="1"/>
  <c r="V140" i="1" s="1"/>
  <c r="T141" i="1"/>
  <c r="V141" i="1" s="1"/>
  <c r="T142" i="1"/>
  <c r="V142" i="1" s="1"/>
  <c r="T143" i="1"/>
  <c r="V143" i="1" s="1"/>
  <c r="T144" i="1"/>
  <c r="V144" i="1" s="1"/>
  <c r="T145" i="1"/>
  <c r="V145" i="1" s="1"/>
  <c r="T146" i="1"/>
  <c r="V146" i="1" s="1"/>
  <c r="T3" i="1"/>
  <c r="V3" i="1" s="1"/>
  <c r="R87" i="1" l="1"/>
  <c r="S87" i="1" s="1"/>
  <c r="AA87" i="1" s="1" a="1"/>
  <c r="AA87" i="1" s="1"/>
  <c r="R89" i="1"/>
  <c r="S89" i="1" s="1"/>
  <c r="AA89" i="1" s="1" a="1"/>
  <c r="AA89" i="1" s="1"/>
  <c r="R88" i="1"/>
  <c r="S88" i="1" s="1"/>
  <c r="AA88" i="1" s="1" a="1"/>
  <c r="AA88" i="1" s="1"/>
  <c r="X88" i="1" a="1"/>
  <c r="X88" i="1" s="1"/>
  <c r="Y88" i="1" a="1"/>
  <c r="Y88" i="1" s="1"/>
  <c r="Y87" i="1" a="1"/>
  <c r="Y87" i="1" s="1"/>
  <c r="X87" i="1" a="1"/>
  <c r="X87" i="1" s="1"/>
  <c r="Y89" i="1" a="1"/>
  <c r="Y89" i="1" s="1"/>
  <c r="X89" i="1" a="1"/>
  <c r="X89" i="1" s="1"/>
  <c r="Z89" i="1" l="1" a="1"/>
  <c r="Z89" i="1" s="1"/>
  <c r="Z87" i="1" a="1"/>
  <c r="Z87" i="1" s="1"/>
  <c r="Z88" i="1" a="1"/>
  <c r="Z88" i="1" s="1"/>
  <c r="P3" i="1"/>
  <c r="P54" i="1" l="1"/>
  <c r="Q53" i="1"/>
  <c r="P50" i="1"/>
  <c r="P48" i="1"/>
  <c r="P46" i="1"/>
  <c r="Q45" i="1"/>
  <c r="P43" i="1"/>
  <c r="P42" i="1"/>
  <c r="Q41" i="1"/>
  <c r="P40" i="1"/>
  <c r="P38" i="1"/>
  <c r="Q37" i="1"/>
  <c r="P36" i="1"/>
  <c r="P22" i="1"/>
  <c r="P35" i="1"/>
  <c r="Q34" i="1"/>
  <c r="P34" i="1"/>
  <c r="P33" i="1"/>
  <c r="P32" i="1"/>
  <c r="P31" i="1"/>
  <c r="Q30" i="1"/>
  <c r="P30" i="1"/>
  <c r="P27" i="1"/>
  <c r="Q26" i="1"/>
  <c r="P26" i="1"/>
  <c r="P25" i="1"/>
  <c r="P24" i="1"/>
  <c r="P23" i="1"/>
  <c r="Q21" i="1"/>
  <c r="P21" i="1"/>
  <c r="P18" i="1"/>
  <c r="Q17" i="1"/>
  <c r="P17" i="1"/>
  <c r="P16" i="1"/>
  <c r="P15" i="1"/>
  <c r="P14" i="1"/>
  <c r="Q13" i="1"/>
  <c r="P10" i="1"/>
  <c r="Q9" i="1"/>
  <c r="P9" i="1"/>
  <c r="P8" i="1"/>
  <c r="P7" i="1"/>
  <c r="P6" i="1"/>
  <c r="Q5" i="1"/>
  <c r="Q4" i="1"/>
  <c r="Q6" i="1"/>
  <c r="Q7" i="1"/>
  <c r="Q8" i="1"/>
  <c r="Q10" i="1"/>
  <c r="Q11" i="1"/>
  <c r="Q12" i="1"/>
  <c r="Q14" i="1"/>
  <c r="Q15" i="1"/>
  <c r="Q16" i="1"/>
  <c r="Q18" i="1"/>
  <c r="Q19" i="1"/>
  <c r="Q20" i="1"/>
  <c r="Q23" i="1"/>
  <c r="Q24" i="1"/>
  <c r="Q25" i="1"/>
  <c r="Q27" i="1"/>
  <c r="Q28" i="1"/>
  <c r="Q29" i="1"/>
  <c r="Q31" i="1"/>
  <c r="Q32" i="1"/>
  <c r="Q33" i="1"/>
  <c r="Q35" i="1"/>
  <c r="Q22" i="1"/>
  <c r="Q36" i="1"/>
  <c r="Q38" i="1"/>
  <c r="Q39" i="1"/>
  <c r="Q40" i="1"/>
  <c r="Q42" i="1"/>
  <c r="Q43" i="1"/>
  <c r="Q44" i="1"/>
  <c r="Q46" i="1"/>
  <c r="Q47" i="1"/>
  <c r="Q48" i="1"/>
  <c r="Q49" i="1"/>
  <c r="Q50" i="1"/>
  <c r="Q51" i="1"/>
  <c r="Q52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3" i="1"/>
  <c r="Y3" i="1" s="1" a="1"/>
  <c r="Y3" i="1" s="1"/>
  <c r="P4" i="1"/>
  <c r="P5" i="1"/>
  <c r="P11" i="1"/>
  <c r="P12" i="1"/>
  <c r="P13" i="1"/>
  <c r="P19" i="1"/>
  <c r="P20" i="1"/>
  <c r="P28" i="1"/>
  <c r="P29" i="1"/>
  <c r="P37" i="1"/>
  <c r="P39" i="1"/>
  <c r="P41" i="1"/>
  <c r="P44" i="1"/>
  <c r="P45" i="1"/>
  <c r="P47" i="1"/>
  <c r="P49" i="1"/>
  <c r="P51" i="1"/>
  <c r="P52" i="1"/>
  <c r="P53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E144" i="1"/>
  <c r="R3" i="1" l="1"/>
  <c r="S3" i="1" s="1"/>
  <c r="AA3" i="1" s="1" a="1"/>
  <c r="AA3" i="1" s="1"/>
  <c r="R29" i="1"/>
  <c r="S29" i="1" s="1"/>
  <c r="AA29" i="1" s="1" a="1"/>
  <c r="AA29" i="1" s="1"/>
  <c r="R28" i="1"/>
  <c r="S28" i="1" s="1"/>
  <c r="AA28" i="1" s="1" a="1"/>
  <c r="AA28" i="1" s="1"/>
  <c r="R44" i="1"/>
  <c r="S44" i="1" s="1"/>
  <c r="AA44" i="1" s="1" a="1"/>
  <c r="AA44" i="1" s="1"/>
  <c r="R47" i="1"/>
  <c r="S47" i="1" s="1"/>
  <c r="AA47" i="1" s="1" a="1"/>
  <c r="AA47" i="1" s="1"/>
  <c r="R143" i="1"/>
  <c r="S143" i="1" s="1"/>
  <c r="AA143" i="1" s="1" a="1"/>
  <c r="AA143" i="1" s="1"/>
  <c r="R146" i="1"/>
  <c r="S146" i="1" s="1"/>
  <c r="AA146" i="1" s="1" a="1"/>
  <c r="AA146" i="1" s="1"/>
  <c r="R108" i="1"/>
  <c r="S108" i="1" s="1"/>
  <c r="AA108" i="1" s="1" a="1"/>
  <c r="AA108" i="1" s="1"/>
  <c r="R145" i="1"/>
  <c r="S145" i="1" s="1"/>
  <c r="AA145" i="1" s="1" a="1"/>
  <c r="AA145" i="1" s="1"/>
  <c r="R144" i="1"/>
  <c r="S144" i="1" s="1"/>
  <c r="AA144" i="1" s="1" a="1"/>
  <c r="AA144" i="1" s="1"/>
  <c r="R53" i="1"/>
  <c r="S53" i="1" s="1"/>
  <c r="AA53" i="1" s="1" a="1"/>
  <c r="AA53" i="1" s="1"/>
  <c r="R8" i="1"/>
  <c r="S8" i="1" s="1"/>
  <c r="AA8" i="1" s="1" a="1"/>
  <c r="AA8" i="1" s="1"/>
  <c r="R17" i="1"/>
  <c r="S17" i="1" s="1"/>
  <c r="AA17" i="1" s="1" a="1"/>
  <c r="AA17" i="1" s="1"/>
  <c r="R4" i="1"/>
  <c r="S4" i="1" s="1"/>
  <c r="AA4" i="1" s="1" a="1"/>
  <c r="AA4" i="1" s="1"/>
  <c r="R26" i="1"/>
  <c r="S26" i="1" s="1"/>
  <c r="AA26" i="1" s="1" a="1"/>
  <c r="AA26" i="1" s="1"/>
  <c r="R34" i="1"/>
  <c r="S34" i="1" s="1"/>
  <c r="AA34" i="1" s="1" a="1"/>
  <c r="AA34" i="1" s="1"/>
  <c r="X3" i="1" a="1"/>
  <c r="X3" i="1" s="1"/>
  <c r="Z3" i="1" s="1" a="1"/>
  <c r="Z3" i="1" s="1"/>
  <c r="R20" i="1"/>
  <c r="S20" i="1" s="1"/>
  <c r="AA20" i="1" s="1" a="1"/>
  <c r="AA20" i="1" s="1"/>
  <c r="R19" i="1"/>
  <c r="S19" i="1" s="1"/>
  <c r="AA19" i="1" s="1" a="1"/>
  <c r="AA19" i="1" s="1"/>
  <c r="R41" i="1"/>
  <c r="S41" i="1" s="1"/>
  <c r="AA41" i="1" s="1" a="1"/>
  <c r="AA41" i="1" s="1"/>
  <c r="R142" i="1"/>
  <c r="S142" i="1" s="1"/>
  <c r="AA142" i="1" s="1" a="1"/>
  <c r="AA142" i="1" s="1"/>
  <c r="R118" i="1"/>
  <c r="S118" i="1" s="1"/>
  <c r="AA118" i="1" s="1" a="1"/>
  <c r="AA118" i="1" s="1"/>
  <c r="R102" i="1"/>
  <c r="S102" i="1" s="1"/>
  <c r="AA102" i="1" s="1" a="1"/>
  <c r="AA102" i="1" s="1"/>
  <c r="R76" i="1"/>
  <c r="S76" i="1" s="1"/>
  <c r="AA76" i="1" s="1" a="1"/>
  <c r="AA76" i="1" s="1"/>
  <c r="R60" i="1"/>
  <c r="S60" i="1" s="1"/>
  <c r="AA60" i="1" s="1" a="1"/>
  <c r="AA60" i="1" s="1"/>
  <c r="R51" i="1"/>
  <c r="S51" i="1" s="1"/>
  <c r="AA51" i="1" s="1" a="1"/>
  <c r="AA51" i="1" s="1"/>
  <c r="R27" i="1"/>
  <c r="S27" i="1" s="1"/>
  <c r="AA27" i="1" s="1" a="1"/>
  <c r="AA27" i="1" s="1"/>
  <c r="R35" i="1"/>
  <c r="S35" i="1" s="1"/>
  <c r="AA35" i="1" s="1" a="1"/>
  <c r="AA35" i="1" s="1"/>
  <c r="R43" i="1"/>
  <c r="S43" i="1" s="1"/>
  <c r="AA43" i="1" s="1" a="1"/>
  <c r="AA43" i="1" s="1"/>
  <c r="R134" i="1"/>
  <c r="S134" i="1" s="1"/>
  <c r="AA134" i="1" s="1" a="1"/>
  <c r="AA134" i="1" s="1"/>
  <c r="R126" i="1"/>
  <c r="S126" i="1" s="1"/>
  <c r="AA126" i="1" s="1" a="1"/>
  <c r="AA126" i="1" s="1"/>
  <c r="R110" i="1"/>
  <c r="S110" i="1" s="1"/>
  <c r="AA110" i="1" s="1" a="1"/>
  <c r="AA110" i="1" s="1"/>
  <c r="R94" i="1"/>
  <c r="S94" i="1" s="1"/>
  <c r="AA94" i="1" s="1" a="1"/>
  <c r="AA94" i="1" s="1"/>
  <c r="R68" i="1"/>
  <c r="S68" i="1" s="1"/>
  <c r="AA68" i="1" s="1" a="1"/>
  <c r="AA68" i="1" s="1"/>
  <c r="R141" i="1"/>
  <c r="S141" i="1" s="1"/>
  <c r="AA141" i="1" s="1" a="1"/>
  <c r="AA141" i="1" s="1"/>
  <c r="R133" i="1"/>
  <c r="S133" i="1" s="1"/>
  <c r="AA133" i="1" s="1" a="1"/>
  <c r="AA133" i="1" s="1"/>
  <c r="R125" i="1"/>
  <c r="S125" i="1" s="1"/>
  <c r="AA125" i="1" s="1" a="1"/>
  <c r="AA125" i="1" s="1"/>
  <c r="R117" i="1"/>
  <c r="S117" i="1" s="1"/>
  <c r="AA117" i="1" s="1" a="1"/>
  <c r="AA117" i="1" s="1"/>
  <c r="R109" i="1"/>
  <c r="S109" i="1" s="1"/>
  <c r="AA109" i="1" s="1" a="1"/>
  <c r="AA109" i="1" s="1"/>
  <c r="R101" i="1"/>
  <c r="S101" i="1" s="1"/>
  <c r="AA101" i="1" s="1" a="1"/>
  <c r="AA101" i="1" s="1"/>
  <c r="R93" i="1"/>
  <c r="S93" i="1" s="1"/>
  <c r="AA93" i="1" s="1" a="1"/>
  <c r="AA93" i="1" s="1"/>
  <c r="R83" i="1"/>
  <c r="S83" i="1" s="1"/>
  <c r="AA83" i="1" s="1" a="1"/>
  <c r="AA83" i="1" s="1"/>
  <c r="R75" i="1"/>
  <c r="S75" i="1" s="1"/>
  <c r="AA75" i="1" s="1" a="1"/>
  <c r="AA75" i="1" s="1"/>
  <c r="R67" i="1"/>
  <c r="S67" i="1" s="1"/>
  <c r="AA67" i="1" s="1" a="1"/>
  <c r="AA67" i="1" s="1"/>
  <c r="R59" i="1"/>
  <c r="S59" i="1" s="1"/>
  <c r="AA59" i="1" s="1" a="1"/>
  <c r="AA59" i="1" s="1"/>
  <c r="R10" i="1"/>
  <c r="S10" i="1" s="1"/>
  <c r="AA10" i="1" s="1" a="1"/>
  <c r="AA10" i="1" s="1"/>
  <c r="R21" i="1"/>
  <c r="S21" i="1" s="1"/>
  <c r="AA21" i="1" s="1" a="1"/>
  <c r="AA21" i="1" s="1"/>
  <c r="R30" i="1"/>
  <c r="S30" i="1" s="1"/>
  <c r="AA30" i="1" s="1" a="1"/>
  <c r="AA30" i="1" s="1"/>
  <c r="R22" i="1"/>
  <c r="S22" i="1" s="1"/>
  <c r="AA22" i="1" s="1" a="1"/>
  <c r="AA22" i="1" s="1"/>
  <c r="R114" i="1"/>
  <c r="S114" i="1" s="1"/>
  <c r="AA114" i="1" s="1" a="1"/>
  <c r="AA114" i="1" s="1"/>
  <c r="R90" i="1"/>
  <c r="S90" i="1" s="1"/>
  <c r="AA90" i="1" s="1" a="1"/>
  <c r="AA90" i="1" s="1"/>
  <c r="R64" i="1"/>
  <c r="S64" i="1" s="1"/>
  <c r="AA64" i="1" s="1" a="1"/>
  <c r="AA64" i="1" s="1"/>
  <c r="R56" i="1"/>
  <c r="S56" i="1" s="1"/>
  <c r="AA56" i="1" s="1" a="1"/>
  <c r="AA56" i="1" s="1"/>
  <c r="R13" i="1"/>
  <c r="S13" i="1" s="1"/>
  <c r="AA13" i="1" s="1" a="1"/>
  <c r="AA13" i="1" s="1"/>
  <c r="R15" i="1"/>
  <c r="S15" i="1" s="1"/>
  <c r="AA15" i="1" s="1" a="1"/>
  <c r="AA15" i="1" s="1"/>
  <c r="R32" i="1"/>
  <c r="S32" i="1" s="1"/>
  <c r="AA32" i="1" s="1" a="1"/>
  <c r="AA32" i="1" s="1"/>
  <c r="R50" i="1"/>
  <c r="S50" i="1" s="1"/>
  <c r="AA50" i="1" s="1" a="1"/>
  <c r="AA50" i="1" s="1"/>
  <c r="R138" i="1"/>
  <c r="S138" i="1" s="1"/>
  <c r="AA138" i="1" s="1" a="1"/>
  <c r="AA138" i="1" s="1"/>
  <c r="R106" i="1"/>
  <c r="S106" i="1" s="1"/>
  <c r="AA106" i="1" s="1" a="1"/>
  <c r="AA106" i="1" s="1"/>
  <c r="R80" i="1"/>
  <c r="S80" i="1" s="1"/>
  <c r="AA80" i="1" s="1" a="1"/>
  <c r="AA80" i="1" s="1"/>
  <c r="R137" i="1"/>
  <c r="S137" i="1" s="1"/>
  <c r="AA137" i="1" s="1" a="1"/>
  <c r="AA137" i="1" s="1"/>
  <c r="R121" i="1"/>
  <c r="S121" i="1" s="1"/>
  <c r="AA121" i="1" s="1" a="1"/>
  <c r="AA121" i="1" s="1"/>
  <c r="R105" i="1"/>
  <c r="S105" i="1" s="1"/>
  <c r="AA105" i="1" s="1" a="1"/>
  <c r="AA105" i="1" s="1"/>
  <c r="R97" i="1"/>
  <c r="S97" i="1" s="1"/>
  <c r="AA97" i="1" s="1" a="1"/>
  <c r="AA97" i="1" s="1"/>
  <c r="R86" i="1"/>
  <c r="S86" i="1" s="1"/>
  <c r="AA86" i="1" s="1" a="1"/>
  <c r="AA86" i="1" s="1"/>
  <c r="R79" i="1"/>
  <c r="S79" i="1" s="1"/>
  <c r="AA79" i="1" s="1" a="1"/>
  <c r="AA79" i="1" s="1"/>
  <c r="R71" i="1"/>
  <c r="S71" i="1" s="1"/>
  <c r="AA71" i="1" s="1" a="1"/>
  <c r="AA71" i="1" s="1"/>
  <c r="R63" i="1"/>
  <c r="S63" i="1" s="1"/>
  <c r="AA63" i="1" s="1" a="1"/>
  <c r="AA63" i="1" s="1"/>
  <c r="R55" i="1"/>
  <c r="S55" i="1" s="1"/>
  <c r="AA55" i="1" s="1" a="1"/>
  <c r="AA55" i="1" s="1"/>
  <c r="R25" i="1"/>
  <c r="S25" i="1" s="1"/>
  <c r="AA25" i="1" s="1" a="1"/>
  <c r="AA25" i="1" s="1"/>
  <c r="R40" i="1"/>
  <c r="S40" i="1" s="1"/>
  <c r="AA40" i="1" s="1" a="1"/>
  <c r="AA40" i="1" s="1"/>
  <c r="R122" i="1"/>
  <c r="S122" i="1" s="1"/>
  <c r="AA122" i="1" s="1" a="1"/>
  <c r="AA122" i="1" s="1"/>
  <c r="R72" i="1"/>
  <c r="S72" i="1" s="1"/>
  <c r="AA72" i="1" s="1" a="1"/>
  <c r="AA72" i="1" s="1"/>
  <c r="R130" i="1"/>
  <c r="S130" i="1" s="1"/>
  <c r="AA130" i="1" s="1" a="1"/>
  <c r="AA130" i="1" s="1"/>
  <c r="R98" i="1"/>
  <c r="S98" i="1" s="1"/>
  <c r="AA98" i="1" s="1" a="1"/>
  <c r="AA98" i="1" s="1"/>
  <c r="R129" i="1"/>
  <c r="S129" i="1" s="1"/>
  <c r="AA129" i="1" s="1" a="1"/>
  <c r="AA129" i="1" s="1"/>
  <c r="R113" i="1"/>
  <c r="S113" i="1" s="1"/>
  <c r="AA113" i="1" s="1" a="1"/>
  <c r="AA113" i="1" s="1"/>
  <c r="R37" i="1"/>
  <c r="S37" i="1" s="1"/>
  <c r="AA37" i="1" s="1" a="1"/>
  <c r="AA37" i="1" s="1"/>
  <c r="R5" i="1"/>
  <c r="S5" i="1" s="1"/>
  <c r="AA5" i="1" s="1" a="1"/>
  <c r="AA5" i="1" s="1"/>
  <c r="R140" i="1"/>
  <c r="S140" i="1" s="1"/>
  <c r="AA140" i="1" s="1" a="1"/>
  <c r="AA140" i="1" s="1"/>
  <c r="R132" i="1"/>
  <c r="S132" i="1" s="1"/>
  <c r="AA132" i="1" s="1" a="1"/>
  <c r="AA132" i="1" s="1"/>
  <c r="R124" i="1"/>
  <c r="S124" i="1" s="1"/>
  <c r="AA124" i="1" s="1" a="1"/>
  <c r="AA124" i="1" s="1"/>
  <c r="R116" i="1"/>
  <c r="S116" i="1" s="1"/>
  <c r="AA116" i="1" s="1" a="1"/>
  <c r="AA116" i="1" s="1"/>
  <c r="R100" i="1"/>
  <c r="S100" i="1" s="1"/>
  <c r="AA100" i="1" s="1" a="1"/>
  <c r="AA100" i="1" s="1"/>
  <c r="R92" i="1"/>
  <c r="S92" i="1" s="1"/>
  <c r="AA92" i="1" s="1" a="1"/>
  <c r="AA92" i="1" s="1"/>
  <c r="R82" i="1"/>
  <c r="S82" i="1" s="1"/>
  <c r="AA82" i="1" s="1" a="1"/>
  <c r="AA82" i="1" s="1"/>
  <c r="R74" i="1"/>
  <c r="S74" i="1" s="1"/>
  <c r="AA74" i="1" s="1" a="1"/>
  <c r="AA74" i="1" s="1"/>
  <c r="R66" i="1"/>
  <c r="S66" i="1" s="1"/>
  <c r="AA66" i="1" s="1" a="1"/>
  <c r="AA66" i="1" s="1"/>
  <c r="R58" i="1"/>
  <c r="S58" i="1" s="1"/>
  <c r="AA58" i="1" s="1" a="1"/>
  <c r="AA58" i="1" s="1"/>
  <c r="R36" i="1"/>
  <c r="S36" i="1" s="1"/>
  <c r="AA36" i="1" s="1" a="1"/>
  <c r="AA36" i="1" s="1"/>
  <c r="R46" i="1"/>
  <c r="S46" i="1" s="1"/>
  <c r="AA46" i="1" s="1" a="1"/>
  <c r="AA46" i="1" s="1"/>
  <c r="R18" i="1"/>
  <c r="S18" i="1" s="1"/>
  <c r="AA18" i="1" s="1" a="1"/>
  <c r="AA18" i="1" s="1"/>
  <c r="R49" i="1"/>
  <c r="S49" i="1" s="1"/>
  <c r="AA49" i="1" s="1" a="1"/>
  <c r="AA49" i="1" s="1"/>
  <c r="R139" i="1"/>
  <c r="S139" i="1" s="1"/>
  <c r="AA139" i="1" s="1" a="1"/>
  <c r="AA139" i="1" s="1"/>
  <c r="R131" i="1"/>
  <c r="S131" i="1" s="1"/>
  <c r="AA131" i="1" s="1" a="1"/>
  <c r="AA131" i="1" s="1"/>
  <c r="R123" i="1"/>
  <c r="S123" i="1" s="1"/>
  <c r="AA123" i="1" s="1" a="1"/>
  <c r="AA123" i="1" s="1"/>
  <c r="R115" i="1"/>
  <c r="S115" i="1" s="1"/>
  <c r="AA115" i="1" s="1" a="1"/>
  <c r="AA115" i="1" s="1"/>
  <c r="R107" i="1"/>
  <c r="S107" i="1" s="1"/>
  <c r="AA107" i="1" s="1" a="1"/>
  <c r="AA107" i="1" s="1"/>
  <c r="R99" i="1"/>
  <c r="S99" i="1" s="1"/>
  <c r="AA99" i="1" s="1" a="1"/>
  <c r="AA99" i="1" s="1"/>
  <c r="R91" i="1"/>
  <c r="S91" i="1" s="1"/>
  <c r="AA91" i="1" s="1" a="1"/>
  <c r="AA91" i="1" s="1"/>
  <c r="R81" i="1"/>
  <c r="S81" i="1" s="1"/>
  <c r="AA81" i="1" s="1" a="1"/>
  <c r="AA81" i="1" s="1"/>
  <c r="R73" i="1"/>
  <c r="S73" i="1" s="1"/>
  <c r="AA73" i="1" s="1" a="1"/>
  <c r="AA73" i="1" s="1"/>
  <c r="R65" i="1"/>
  <c r="S65" i="1" s="1"/>
  <c r="AA65" i="1" s="1" a="1"/>
  <c r="AA65" i="1" s="1"/>
  <c r="R57" i="1"/>
  <c r="S57" i="1" s="1"/>
  <c r="AA57" i="1" s="1" a="1"/>
  <c r="AA57" i="1" s="1"/>
  <c r="R45" i="1"/>
  <c r="S45" i="1" s="1"/>
  <c r="AA45" i="1" s="1" a="1"/>
  <c r="AA45" i="1" s="1"/>
  <c r="R14" i="1"/>
  <c r="S14" i="1" s="1"/>
  <c r="AA14" i="1" s="1" a="1"/>
  <c r="AA14" i="1" s="1"/>
  <c r="R23" i="1"/>
  <c r="S23" i="1" s="1"/>
  <c r="AA23" i="1" s="1" a="1"/>
  <c r="AA23" i="1" s="1"/>
  <c r="R31" i="1"/>
  <c r="S31" i="1" s="1"/>
  <c r="AA31" i="1" s="1" a="1"/>
  <c r="AA31" i="1" s="1"/>
  <c r="R48" i="1"/>
  <c r="S48" i="1" s="1"/>
  <c r="AA48" i="1" s="1" a="1"/>
  <c r="AA48" i="1" s="1"/>
  <c r="R7" i="1"/>
  <c r="S7" i="1" s="1"/>
  <c r="AA7" i="1" s="1" a="1"/>
  <c r="AA7" i="1" s="1"/>
  <c r="R16" i="1"/>
  <c r="S16" i="1" s="1"/>
  <c r="AA16" i="1" s="1" a="1"/>
  <c r="AA16" i="1" s="1"/>
  <c r="R33" i="1"/>
  <c r="S33" i="1" s="1"/>
  <c r="AA33" i="1" s="1" a="1"/>
  <c r="AA33" i="1" s="1"/>
  <c r="R6" i="1"/>
  <c r="S6" i="1" s="1"/>
  <c r="AA6" i="1" s="1" a="1"/>
  <c r="AA6" i="1" s="1"/>
  <c r="R24" i="1"/>
  <c r="S24" i="1" s="1"/>
  <c r="AA24" i="1" s="1" a="1"/>
  <c r="AA24" i="1" s="1"/>
  <c r="R38" i="1"/>
  <c r="S38" i="1" s="1"/>
  <c r="AA38" i="1" s="1" a="1"/>
  <c r="AA38" i="1" s="1"/>
  <c r="R136" i="1"/>
  <c r="S136" i="1" s="1"/>
  <c r="AA136" i="1" s="1" a="1"/>
  <c r="AA136" i="1" s="1"/>
  <c r="R128" i="1"/>
  <c r="S128" i="1" s="1"/>
  <c r="AA128" i="1" s="1" a="1"/>
  <c r="AA128" i="1" s="1"/>
  <c r="R120" i="1"/>
  <c r="S120" i="1" s="1"/>
  <c r="AA120" i="1" s="1" a="1"/>
  <c r="AA120" i="1" s="1"/>
  <c r="R112" i="1"/>
  <c r="S112" i="1" s="1"/>
  <c r="AA112" i="1" s="1" a="1"/>
  <c r="AA112" i="1" s="1"/>
  <c r="R104" i="1"/>
  <c r="S104" i="1" s="1"/>
  <c r="AA104" i="1" s="1" a="1"/>
  <c r="AA104" i="1" s="1"/>
  <c r="R96" i="1"/>
  <c r="S96" i="1" s="1"/>
  <c r="AA96" i="1" s="1" a="1"/>
  <c r="AA96" i="1" s="1"/>
  <c r="R85" i="1"/>
  <c r="S85" i="1" s="1"/>
  <c r="AA85" i="1" s="1" a="1"/>
  <c r="AA85" i="1" s="1"/>
  <c r="R78" i="1"/>
  <c r="S78" i="1" s="1"/>
  <c r="AA78" i="1" s="1" a="1"/>
  <c r="AA78" i="1" s="1"/>
  <c r="R70" i="1"/>
  <c r="S70" i="1" s="1"/>
  <c r="AA70" i="1" s="1" a="1"/>
  <c r="AA70" i="1" s="1"/>
  <c r="R62" i="1"/>
  <c r="S62" i="1" s="1"/>
  <c r="AA62" i="1" s="1" a="1"/>
  <c r="AA62" i="1" s="1"/>
  <c r="R39" i="1"/>
  <c r="S39" i="1" s="1"/>
  <c r="AA39" i="1" s="1" a="1"/>
  <c r="AA39" i="1" s="1"/>
  <c r="R11" i="1"/>
  <c r="S11" i="1" s="1"/>
  <c r="AA11" i="1" s="1" a="1"/>
  <c r="AA11" i="1" s="1"/>
  <c r="R54" i="1"/>
  <c r="S54" i="1" s="1"/>
  <c r="AA54" i="1" s="1" a="1"/>
  <c r="AA54" i="1" s="1"/>
  <c r="R12" i="1"/>
  <c r="S12" i="1" s="1"/>
  <c r="AA12" i="1" s="1" a="1"/>
  <c r="AA12" i="1" s="1"/>
  <c r="R135" i="1"/>
  <c r="S135" i="1" s="1"/>
  <c r="AA135" i="1" s="1" a="1"/>
  <c r="AA135" i="1" s="1"/>
  <c r="R127" i="1"/>
  <c r="S127" i="1" s="1"/>
  <c r="AA127" i="1" s="1" a="1"/>
  <c r="AA127" i="1" s="1"/>
  <c r="R119" i="1"/>
  <c r="S119" i="1" s="1"/>
  <c r="AA119" i="1" s="1" a="1"/>
  <c r="AA119" i="1" s="1"/>
  <c r="R111" i="1"/>
  <c r="S111" i="1" s="1"/>
  <c r="AA111" i="1" s="1" a="1"/>
  <c r="AA111" i="1" s="1"/>
  <c r="R103" i="1"/>
  <c r="S103" i="1" s="1"/>
  <c r="AA103" i="1" s="1" a="1"/>
  <c r="AA103" i="1" s="1"/>
  <c r="R95" i="1"/>
  <c r="S95" i="1" s="1"/>
  <c r="AA95" i="1" s="1" a="1"/>
  <c r="AA95" i="1" s="1"/>
  <c r="R84" i="1"/>
  <c r="S84" i="1" s="1"/>
  <c r="AA84" i="1" s="1" a="1"/>
  <c r="AA84" i="1" s="1"/>
  <c r="R77" i="1"/>
  <c r="S77" i="1" s="1"/>
  <c r="AA77" i="1" s="1" a="1"/>
  <c r="AA77" i="1" s="1"/>
  <c r="R69" i="1"/>
  <c r="S69" i="1" s="1"/>
  <c r="AA69" i="1" s="1" a="1"/>
  <c r="AA69" i="1" s="1"/>
  <c r="R61" i="1"/>
  <c r="S61" i="1" s="1"/>
  <c r="AA61" i="1" s="1" a="1"/>
  <c r="AA61" i="1" s="1"/>
  <c r="R52" i="1"/>
  <c r="S52" i="1" s="1"/>
  <c r="AA52" i="1" s="1" a="1"/>
  <c r="AA52" i="1" s="1"/>
  <c r="R9" i="1"/>
  <c r="S9" i="1" s="1"/>
  <c r="AA9" i="1" s="1" a="1"/>
  <c r="AA9" i="1" s="1"/>
  <c r="R42" i="1"/>
  <c r="S42" i="1" s="1"/>
  <c r="AA42" i="1" s="1" a="1"/>
  <c r="AA42" i="1" s="1"/>
  <c r="Y137" i="1" a="1"/>
  <c r="Y137" i="1" s="1"/>
  <c r="X137" i="1" a="1"/>
  <c r="X137" i="1" s="1"/>
  <c r="Y105" i="1" a="1"/>
  <c r="Y105" i="1" s="1"/>
  <c r="X105" i="1" a="1"/>
  <c r="X105" i="1" s="1"/>
  <c r="X79" i="1" a="1"/>
  <c r="X79" i="1" s="1"/>
  <c r="Y79" i="1" a="1"/>
  <c r="Y79" i="1" s="1"/>
  <c r="Y63" i="1" a="1"/>
  <c r="Y63" i="1" s="1"/>
  <c r="X63" i="1" a="1"/>
  <c r="X63" i="1" s="1"/>
  <c r="Y133" i="1" a="1"/>
  <c r="Y133" i="1" s="1"/>
  <c r="X133" i="1" a="1"/>
  <c r="X133" i="1" s="1"/>
  <c r="X117" i="1" a="1"/>
  <c r="X117" i="1" s="1"/>
  <c r="Y117" i="1" a="1"/>
  <c r="Y117" i="1" s="1"/>
  <c r="Y101" i="1" a="1"/>
  <c r="Y101" i="1" s="1"/>
  <c r="X101" i="1" a="1"/>
  <c r="X101" i="1" s="1"/>
  <c r="Y75" i="1" a="1"/>
  <c r="Y75" i="1" s="1"/>
  <c r="X75" i="1" a="1"/>
  <c r="X75" i="1" s="1"/>
  <c r="Y59" i="1" a="1"/>
  <c r="Y59" i="1" s="1"/>
  <c r="X59" i="1" a="1"/>
  <c r="X59" i="1" s="1"/>
  <c r="Y28" i="1" a="1"/>
  <c r="Y28" i="1" s="1"/>
  <c r="X28" i="1" a="1"/>
  <c r="X28" i="1" s="1"/>
  <c r="Y21" i="1" a="1"/>
  <c r="Y21" i="1" s="1"/>
  <c r="X21" i="1" a="1"/>
  <c r="X21" i="1" s="1"/>
  <c r="X22" i="1" a="1"/>
  <c r="X22" i="1" s="1"/>
  <c r="Y22" i="1" a="1"/>
  <c r="Y22" i="1" s="1"/>
  <c r="X140" i="1" a="1"/>
  <c r="X140" i="1" s="1"/>
  <c r="Y140" i="1" a="1"/>
  <c r="Y140" i="1" s="1"/>
  <c r="Y132" i="1" a="1"/>
  <c r="Y132" i="1" s="1"/>
  <c r="X132" i="1" a="1"/>
  <c r="X132" i="1" s="1"/>
  <c r="Y116" i="1" a="1"/>
  <c r="Y116" i="1" s="1"/>
  <c r="X116" i="1" a="1"/>
  <c r="X116" i="1" s="1"/>
  <c r="Y100" i="1" a="1"/>
  <c r="Y100" i="1" s="1"/>
  <c r="X100" i="1" a="1"/>
  <c r="X100" i="1" s="1"/>
  <c r="Y74" i="1" a="1"/>
  <c r="Y74" i="1" s="1"/>
  <c r="X74" i="1" a="1"/>
  <c r="X74" i="1" s="1"/>
  <c r="Y58" i="1" a="1"/>
  <c r="Y58" i="1" s="1"/>
  <c r="X58" i="1" a="1"/>
  <c r="X58" i="1" s="1"/>
  <c r="Y20" i="1" a="1"/>
  <c r="Y20" i="1" s="1"/>
  <c r="X20" i="1" a="1"/>
  <c r="X20" i="1" s="1"/>
  <c r="X46" i="1" a="1"/>
  <c r="X46" i="1" s="1"/>
  <c r="Y46" i="1" a="1"/>
  <c r="Y46" i="1" s="1"/>
  <c r="X139" i="1" a="1"/>
  <c r="X139" i="1" s="1"/>
  <c r="Y139" i="1" a="1"/>
  <c r="Y139" i="1" s="1"/>
  <c r="Y131" i="1" a="1"/>
  <c r="Y131" i="1" s="1"/>
  <c r="X131" i="1" a="1"/>
  <c r="X131" i="1" s="1"/>
  <c r="X123" i="1" a="1"/>
  <c r="X123" i="1" s="1"/>
  <c r="Y123" i="1" a="1"/>
  <c r="Y123" i="1" s="1"/>
  <c r="Y115" i="1" a="1"/>
  <c r="Y115" i="1" s="1"/>
  <c r="X115" i="1" a="1"/>
  <c r="X115" i="1" s="1"/>
  <c r="X107" i="1" a="1"/>
  <c r="X107" i="1" s="1"/>
  <c r="Y107" i="1" a="1"/>
  <c r="Y107" i="1" s="1"/>
  <c r="Y99" i="1" a="1"/>
  <c r="Y99" i="1" s="1"/>
  <c r="X99" i="1" a="1"/>
  <c r="X99" i="1" s="1"/>
  <c r="X91" i="1" a="1"/>
  <c r="X91" i="1" s="1"/>
  <c r="Y91" i="1" a="1"/>
  <c r="Y91" i="1" s="1"/>
  <c r="Y81" i="1" a="1"/>
  <c r="Y81" i="1" s="1"/>
  <c r="X81" i="1" a="1"/>
  <c r="X81" i="1" s="1"/>
  <c r="X73" i="1" a="1"/>
  <c r="X73" i="1" s="1"/>
  <c r="Y73" i="1" a="1"/>
  <c r="Y73" i="1" s="1"/>
  <c r="Y65" i="1" a="1"/>
  <c r="Y65" i="1" s="1"/>
  <c r="X65" i="1" a="1"/>
  <c r="X65" i="1" s="1"/>
  <c r="Y57" i="1" a="1"/>
  <c r="Y57" i="1" s="1"/>
  <c r="X57" i="1" a="1"/>
  <c r="X57" i="1" s="1"/>
  <c r="X45" i="1" a="1"/>
  <c r="X45" i="1" s="1"/>
  <c r="Y45" i="1" a="1"/>
  <c r="Y45" i="1" s="1"/>
  <c r="Y19" i="1" a="1"/>
  <c r="Y19" i="1" s="1"/>
  <c r="X19" i="1" a="1"/>
  <c r="X19" i="1" s="1"/>
  <c r="X14" i="1" a="1"/>
  <c r="X14" i="1" s="1"/>
  <c r="Y14" i="1" a="1"/>
  <c r="Y14" i="1" s="1"/>
  <c r="Y23" i="1" a="1"/>
  <c r="Y23" i="1" s="1"/>
  <c r="X23" i="1" a="1"/>
  <c r="X23" i="1" s="1"/>
  <c r="Y31" i="1" a="1"/>
  <c r="Y31" i="1" s="1"/>
  <c r="X31" i="1" a="1"/>
  <c r="X31" i="1" s="1"/>
  <c r="X48" i="1" a="1"/>
  <c r="X48" i="1" s="1"/>
  <c r="Y48" i="1" a="1"/>
  <c r="Y48" i="1" s="1"/>
  <c r="X145" i="1" a="1"/>
  <c r="X145" i="1" s="1"/>
  <c r="Y145" i="1" a="1"/>
  <c r="Y145" i="1" s="1"/>
  <c r="X113" i="1" a="1"/>
  <c r="X113" i="1" s="1"/>
  <c r="Y113" i="1" a="1"/>
  <c r="Y113" i="1" s="1"/>
  <c r="X97" i="1" a="1"/>
  <c r="X97" i="1" s="1"/>
  <c r="Y97" i="1" a="1"/>
  <c r="Y97" i="1" s="1"/>
  <c r="X55" i="1" a="1"/>
  <c r="X55" i="1" s="1"/>
  <c r="Y55" i="1" a="1"/>
  <c r="Y55" i="1" s="1"/>
  <c r="X141" i="1" a="1"/>
  <c r="X141" i="1" s="1"/>
  <c r="Y141" i="1" a="1"/>
  <c r="Y141" i="1" s="1"/>
  <c r="Y125" i="1" a="1"/>
  <c r="Y125" i="1" s="1"/>
  <c r="X125" i="1" a="1"/>
  <c r="X125" i="1" s="1"/>
  <c r="X109" i="1" a="1"/>
  <c r="X109" i="1" s="1"/>
  <c r="Y109" i="1" a="1"/>
  <c r="Y109" i="1" s="1"/>
  <c r="Y93" i="1" a="1"/>
  <c r="Y93" i="1" s="1"/>
  <c r="X93" i="1" a="1"/>
  <c r="X93" i="1" s="1"/>
  <c r="Y83" i="1" a="1"/>
  <c r="Y83" i="1" s="1"/>
  <c r="X83" i="1" a="1"/>
  <c r="X83" i="1" s="1"/>
  <c r="X67" i="1" a="1"/>
  <c r="X67" i="1" s="1"/>
  <c r="Y67" i="1" a="1"/>
  <c r="Y67" i="1" s="1"/>
  <c r="Y49" i="1" a="1"/>
  <c r="Y49" i="1" s="1"/>
  <c r="X49" i="1" a="1"/>
  <c r="X49" i="1" s="1"/>
  <c r="Y10" i="1" a="1"/>
  <c r="Y10" i="1" s="1"/>
  <c r="X10" i="1" a="1"/>
  <c r="X10" i="1" s="1"/>
  <c r="X30" i="1" a="1"/>
  <c r="X30" i="1" s="1"/>
  <c r="Y30" i="1" a="1"/>
  <c r="Y30" i="1" s="1"/>
  <c r="X124" i="1" a="1"/>
  <c r="X124" i="1" s="1"/>
  <c r="Y124" i="1" a="1"/>
  <c r="Y124" i="1" s="1"/>
  <c r="X108" i="1" a="1"/>
  <c r="X108" i="1" s="1"/>
  <c r="Y108" i="1" a="1"/>
  <c r="Y108" i="1" s="1"/>
  <c r="X92" i="1" a="1"/>
  <c r="X92" i="1" s="1"/>
  <c r="Y92" i="1" a="1"/>
  <c r="Y92" i="1" s="1"/>
  <c r="X82" i="1" a="1"/>
  <c r="X82" i="1" s="1"/>
  <c r="Y82" i="1" a="1"/>
  <c r="Y82" i="1" s="1"/>
  <c r="X66" i="1" a="1"/>
  <c r="X66" i="1" s="1"/>
  <c r="Y66" i="1" a="1"/>
  <c r="Y66" i="1" s="1"/>
  <c r="X47" i="1" a="1"/>
  <c r="X47" i="1" s="1"/>
  <c r="Y47" i="1" a="1"/>
  <c r="Y47" i="1" s="1"/>
  <c r="Y36" i="1" a="1"/>
  <c r="Y36" i="1" s="1"/>
  <c r="X36" i="1" a="1"/>
  <c r="X36" i="1" s="1"/>
  <c r="Y146" i="1" a="1"/>
  <c r="Y146" i="1" s="1"/>
  <c r="X146" i="1" a="1"/>
  <c r="X146" i="1" s="1"/>
  <c r="Y138" i="1" a="1"/>
  <c r="Y138" i="1" s="1"/>
  <c r="X138" i="1" a="1"/>
  <c r="X138" i="1" s="1"/>
  <c r="X130" i="1" a="1"/>
  <c r="X130" i="1" s="1"/>
  <c r="Y130" i="1" a="1"/>
  <c r="Y130" i="1" s="1"/>
  <c r="Y122" i="1" a="1"/>
  <c r="Y122" i="1" s="1"/>
  <c r="X122" i="1" a="1"/>
  <c r="X122" i="1" s="1"/>
  <c r="Y114" i="1" a="1"/>
  <c r="Y114" i="1" s="1"/>
  <c r="X114" i="1" a="1"/>
  <c r="X114" i="1" s="1"/>
  <c r="Y106" i="1" a="1"/>
  <c r="Y106" i="1" s="1"/>
  <c r="X106" i="1" a="1"/>
  <c r="X106" i="1" s="1"/>
  <c r="X98" i="1" a="1"/>
  <c r="X98" i="1" s="1"/>
  <c r="Y98" i="1" a="1"/>
  <c r="Y98" i="1" s="1"/>
  <c r="Y90" i="1" a="1"/>
  <c r="Y90" i="1" s="1"/>
  <c r="X90" i="1" a="1"/>
  <c r="X90" i="1" s="1"/>
  <c r="Y80" i="1" a="1"/>
  <c r="Y80" i="1" s="1"/>
  <c r="X80" i="1" a="1"/>
  <c r="X80" i="1" s="1"/>
  <c r="X72" i="1" a="1"/>
  <c r="X72" i="1" s="1"/>
  <c r="Y72" i="1" a="1"/>
  <c r="Y72" i="1" s="1"/>
  <c r="Y64" i="1" a="1"/>
  <c r="Y64" i="1" s="1"/>
  <c r="X64" i="1" a="1"/>
  <c r="X64" i="1" s="1"/>
  <c r="Y56" i="1" a="1"/>
  <c r="Y56" i="1" s="1"/>
  <c r="X56" i="1" a="1"/>
  <c r="X56" i="1" s="1"/>
  <c r="X44" i="1" a="1"/>
  <c r="X44" i="1" s="1"/>
  <c r="Y44" i="1" a="1"/>
  <c r="Y44" i="1" s="1"/>
  <c r="Y13" i="1" a="1"/>
  <c r="Y13" i="1" s="1"/>
  <c r="X13" i="1" a="1"/>
  <c r="X13" i="1" s="1"/>
  <c r="Y6" i="1" a="1"/>
  <c r="Y6" i="1" s="1"/>
  <c r="X6" i="1" a="1"/>
  <c r="X6" i="1" s="1"/>
  <c r="X15" i="1" a="1"/>
  <c r="X15" i="1" s="1"/>
  <c r="Y15" i="1" a="1"/>
  <c r="Y15" i="1" s="1"/>
  <c r="X24" i="1" a="1"/>
  <c r="X24" i="1" s="1"/>
  <c r="Y24" i="1" a="1"/>
  <c r="Y24" i="1" s="1"/>
  <c r="Y32" i="1" a="1"/>
  <c r="Y32" i="1" s="1"/>
  <c r="X32" i="1" a="1"/>
  <c r="X32" i="1" s="1"/>
  <c r="Y38" i="1" a="1"/>
  <c r="Y38" i="1" s="1"/>
  <c r="X38" i="1" a="1"/>
  <c r="X38" i="1" s="1"/>
  <c r="X50" i="1" a="1"/>
  <c r="X50" i="1" s="1"/>
  <c r="Y50" i="1" a="1"/>
  <c r="Y50" i="1" s="1"/>
  <c r="Y121" i="1" a="1"/>
  <c r="Y121" i="1" s="1"/>
  <c r="X121" i="1" a="1"/>
  <c r="X121" i="1" s="1"/>
  <c r="X71" i="1" a="1"/>
  <c r="X71" i="1" s="1"/>
  <c r="Y71" i="1" a="1"/>
  <c r="Y71" i="1" s="1"/>
  <c r="X12" i="1" a="1"/>
  <c r="X12" i="1" s="1"/>
  <c r="Y12" i="1" a="1"/>
  <c r="Y12" i="1" s="1"/>
  <c r="X7" i="1" a="1"/>
  <c r="X7" i="1" s="1"/>
  <c r="Y7" i="1" a="1"/>
  <c r="Y7" i="1" s="1"/>
  <c r="Y25" i="1" a="1"/>
  <c r="Y25" i="1" s="1"/>
  <c r="X25" i="1" a="1"/>
  <c r="X25" i="1" s="1"/>
  <c r="X40" i="1" a="1"/>
  <c r="X40" i="1" s="1"/>
  <c r="Y40" i="1" a="1"/>
  <c r="Y40" i="1" s="1"/>
  <c r="Y144" i="1" a="1"/>
  <c r="Y144" i="1" s="1"/>
  <c r="X144" i="1" a="1"/>
  <c r="X144" i="1" s="1"/>
  <c r="Y128" i="1" a="1"/>
  <c r="Y128" i="1" s="1"/>
  <c r="X128" i="1" a="1"/>
  <c r="X128" i="1" s="1"/>
  <c r="Y112" i="1" a="1"/>
  <c r="Y112" i="1" s="1"/>
  <c r="X112" i="1" a="1"/>
  <c r="X112" i="1" s="1"/>
  <c r="Y96" i="1" a="1"/>
  <c r="Y96" i="1" s="1"/>
  <c r="X96" i="1" a="1"/>
  <c r="X96" i="1" s="1"/>
  <c r="X78" i="1" a="1"/>
  <c r="X78" i="1" s="1"/>
  <c r="Y78" i="1" a="1"/>
  <c r="Y78" i="1" s="1"/>
  <c r="Y62" i="1" a="1"/>
  <c r="Y62" i="1" s="1"/>
  <c r="X62" i="1" a="1"/>
  <c r="X62" i="1" s="1"/>
  <c r="Y11" i="1" a="1"/>
  <c r="Y11" i="1" s="1"/>
  <c r="X11" i="1" a="1"/>
  <c r="X11" i="1" s="1"/>
  <c r="X8" i="1" a="1"/>
  <c r="X8" i="1" s="1"/>
  <c r="Y8" i="1" a="1"/>
  <c r="Y8" i="1" s="1"/>
  <c r="X34" i="1" a="1"/>
  <c r="X34" i="1" s="1"/>
  <c r="Y34" i="1" a="1"/>
  <c r="Y34" i="1" s="1"/>
  <c r="Y54" i="1" a="1"/>
  <c r="Y54" i="1" s="1"/>
  <c r="X54" i="1" a="1"/>
  <c r="X54" i="1" s="1"/>
  <c r="X135" i="1" a="1"/>
  <c r="X135" i="1" s="1"/>
  <c r="Y135" i="1" a="1"/>
  <c r="Y135" i="1" s="1"/>
  <c r="Y127" i="1" a="1"/>
  <c r="Y127" i="1" s="1"/>
  <c r="X127" i="1" a="1"/>
  <c r="X127" i="1" s="1"/>
  <c r="Y119" i="1" a="1"/>
  <c r="Y119" i="1" s="1"/>
  <c r="X119" i="1" a="1"/>
  <c r="X119" i="1" s="1"/>
  <c r="Y111" i="1" a="1"/>
  <c r="Y111" i="1" s="1"/>
  <c r="X111" i="1" a="1"/>
  <c r="X111" i="1" s="1"/>
  <c r="X103" i="1" a="1"/>
  <c r="X103" i="1" s="1"/>
  <c r="Y103" i="1" a="1"/>
  <c r="Y103" i="1" s="1"/>
  <c r="Y95" i="1" a="1"/>
  <c r="Y95" i="1" s="1"/>
  <c r="X95" i="1" a="1"/>
  <c r="X95" i="1" s="1"/>
  <c r="Y84" i="1" a="1"/>
  <c r="Y84" i="1" s="1"/>
  <c r="X84" i="1" a="1"/>
  <c r="X84" i="1" s="1"/>
  <c r="X77" i="1" a="1"/>
  <c r="X77" i="1" s="1"/>
  <c r="Y77" i="1" a="1"/>
  <c r="Y77" i="1" s="1"/>
  <c r="Y69" i="1" a="1"/>
  <c r="Y69" i="1" s="1"/>
  <c r="X69" i="1" a="1"/>
  <c r="X69" i="1" s="1"/>
  <c r="X61" i="1" a="1"/>
  <c r="X61" i="1" s="1"/>
  <c r="Y61" i="1" a="1"/>
  <c r="Y61" i="1" s="1"/>
  <c r="Y52" i="1" a="1"/>
  <c r="Y52" i="1" s="1"/>
  <c r="X52" i="1" a="1"/>
  <c r="X52" i="1" s="1"/>
  <c r="Y37" i="1" a="1"/>
  <c r="Y37" i="1" s="1"/>
  <c r="X37" i="1" a="1"/>
  <c r="X37" i="1" s="1"/>
  <c r="Y5" i="1" a="1"/>
  <c r="Y5" i="1" s="1"/>
  <c r="X5" i="1" a="1"/>
  <c r="X5" i="1" s="1"/>
  <c r="X9" i="1" a="1"/>
  <c r="X9" i="1" s="1"/>
  <c r="Y9" i="1" a="1"/>
  <c r="Y9" i="1" s="1"/>
  <c r="X42" i="1" a="1"/>
  <c r="X42" i="1" s="1"/>
  <c r="Y42" i="1" a="1"/>
  <c r="Y42" i="1" s="1"/>
  <c r="X129" i="1" a="1"/>
  <c r="X129" i="1" s="1"/>
  <c r="Y129" i="1" a="1"/>
  <c r="Y129" i="1" s="1"/>
  <c r="X86" i="1" a="1"/>
  <c r="X86" i="1" s="1"/>
  <c r="Y86" i="1" a="1"/>
  <c r="Y86" i="1" s="1"/>
  <c r="X41" i="1" a="1"/>
  <c r="X41" i="1" s="1"/>
  <c r="Y41" i="1" a="1"/>
  <c r="Y41" i="1" s="1"/>
  <c r="Y16" i="1" a="1"/>
  <c r="Y16" i="1" s="1"/>
  <c r="X16" i="1" a="1"/>
  <c r="X16" i="1" s="1"/>
  <c r="Y33" i="1" a="1"/>
  <c r="Y33" i="1" s="1"/>
  <c r="X33" i="1" a="1"/>
  <c r="X33" i="1" s="1"/>
  <c r="X136" i="1" a="1"/>
  <c r="X136" i="1" s="1"/>
  <c r="Y136" i="1" a="1"/>
  <c r="Y136" i="1" s="1"/>
  <c r="Y120" i="1" a="1"/>
  <c r="Y120" i="1" s="1"/>
  <c r="X120" i="1" a="1"/>
  <c r="X120" i="1" s="1"/>
  <c r="X104" i="1" a="1"/>
  <c r="X104" i="1" s="1"/>
  <c r="Y104" i="1" a="1"/>
  <c r="Y104" i="1" s="1"/>
  <c r="X85" i="1" a="1"/>
  <c r="X85" i="1" s="1"/>
  <c r="Y85" i="1" a="1"/>
  <c r="Y85" i="1" s="1"/>
  <c r="Y70" i="1" a="1"/>
  <c r="Y70" i="1" s="1"/>
  <c r="X70" i="1" a="1"/>
  <c r="X70" i="1" s="1"/>
  <c r="Y53" i="1" a="1"/>
  <c r="Y53" i="1" s="1"/>
  <c r="X53" i="1" a="1"/>
  <c r="X53" i="1" s="1"/>
  <c r="X39" i="1" a="1"/>
  <c r="X39" i="1" s="1"/>
  <c r="Y39" i="1" a="1"/>
  <c r="Y39" i="1" s="1"/>
  <c r="Y17" i="1" a="1"/>
  <c r="Y17" i="1" s="1"/>
  <c r="X17" i="1" a="1"/>
  <c r="X17" i="1" s="1"/>
  <c r="X26" i="1" a="1"/>
  <c r="X26" i="1" s="1"/>
  <c r="Y26" i="1" a="1"/>
  <c r="Y26" i="1" s="1"/>
  <c r="X143" i="1" a="1"/>
  <c r="X143" i="1" s="1"/>
  <c r="Y143" i="1" a="1"/>
  <c r="Y143" i="1" s="1"/>
  <c r="X142" i="1" a="1"/>
  <c r="X142" i="1" s="1"/>
  <c r="Y142" i="1" a="1"/>
  <c r="Y142" i="1" s="1"/>
  <c r="X134" i="1" a="1"/>
  <c r="X134" i="1" s="1"/>
  <c r="Y134" i="1" a="1"/>
  <c r="Y134" i="1" s="1"/>
  <c r="Y126" i="1" a="1"/>
  <c r="Y126" i="1" s="1"/>
  <c r="X126" i="1" a="1"/>
  <c r="X126" i="1" s="1"/>
  <c r="X118" i="1" a="1"/>
  <c r="X118" i="1" s="1"/>
  <c r="Y118" i="1" a="1"/>
  <c r="Y118" i="1" s="1"/>
  <c r="X110" i="1" a="1"/>
  <c r="X110" i="1" s="1"/>
  <c r="Y110" i="1" a="1"/>
  <c r="Y110" i="1" s="1"/>
  <c r="X102" i="1" a="1"/>
  <c r="X102" i="1" s="1"/>
  <c r="Y102" i="1" a="1"/>
  <c r="Y102" i="1" s="1"/>
  <c r="Y94" i="1" a="1"/>
  <c r="Y94" i="1" s="1"/>
  <c r="X94" i="1" a="1"/>
  <c r="X94" i="1" s="1"/>
  <c r="X76" i="1" a="1"/>
  <c r="X76" i="1" s="1"/>
  <c r="Y76" i="1" a="1"/>
  <c r="Y76" i="1" s="1"/>
  <c r="Y68" i="1" a="1"/>
  <c r="Y68" i="1" s="1"/>
  <c r="X68" i="1" a="1"/>
  <c r="X68" i="1" s="1"/>
  <c r="X60" i="1" a="1"/>
  <c r="X60" i="1" s="1"/>
  <c r="Y60" i="1" a="1"/>
  <c r="Y60" i="1" s="1"/>
  <c r="Y51" i="1" a="1"/>
  <c r="Y51" i="1" s="1"/>
  <c r="X51" i="1" a="1"/>
  <c r="X51" i="1" s="1"/>
  <c r="X29" i="1" a="1"/>
  <c r="X29" i="1" s="1"/>
  <c r="Y29" i="1" a="1"/>
  <c r="Y29" i="1" s="1"/>
  <c r="Y4" i="1" a="1"/>
  <c r="Y4" i="1" s="1"/>
  <c r="X4" i="1" a="1"/>
  <c r="X4" i="1" s="1"/>
  <c r="X18" i="1" a="1"/>
  <c r="X18" i="1" s="1"/>
  <c r="Y18" i="1" a="1"/>
  <c r="Y18" i="1" s="1"/>
  <c r="Y27" i="1" a="1"/>
  <c r="Y27" i="1" s="1"/>
  <c r="X27" i="1" a="1"/>
  <c r="X27" i="1" s="1"/>
  <c r="X35" i="1" a="1"/>
  <c r="X35" i="1" s="1"/>
  <c r="Y35" i="1" a="1"/>
  <c r="Y35" i="1" s="1"/>
  <c r="Y43" i="1" a="1"/>
  <c r="Y43" i="1" s="1"/>
  <c r="X43" i="1" a="1"/>
  <c r="X43" i="1" s="1"/>
  <c r="Z83" i="1" l="1" a="1"/>
  <c r="Z83" i="1" s="1"/>
  <c r="Z111" i="1" a="1"/>
  <c r="Z111" i="1" s="1"/>
  <c r="Z128" i="1" a="1"/>
  <c r="Z128" i="1" s="1"/>
  <c r="Z90" i="1" a="1"/>
  <c r="Z90" i="1" s="1"/>
  <c r="Z122" i="1" a="1"/>
  <c r="Z122" i="1" s="1"/>
  <c r="Z93" i="1" a="1"/>
  <c r="Z93" i="1" s="1"/>
  <c r="Z133" i="1" a="1"/>
  <c r="Z133" i="1" s="1"/>
  <c r="Z137" i="1" a="1"/>
  <c r="Z137" i="1" s="1"/>
  <c r="Z43" i="1" a="1"/>
  <c r="Z43" i="1" s="1"/>
  <c r="Z4" i="1" a="1"/>
  <c r="Z4" i="1" s="1"/>
  <c r="Z68" i="1" a="1"/>
  <c r="Z68" i="1" s="1"/>
  <c r="Z17" i="1" a="1"/>
  <c r="Z17" i="1" s="1"/>
  <c r="Z33" i="1" a="1"/>
  <c r="Z33" i="1" s="1"/>
  <c r="Z37" i="1" a="1"/>
  <c r="Z37" i="1" s="1"/>
  <c r="Z54" i="1" a="1"/>
  <c r="Z54" i="1" s="1"/>
  <c r="Z62" i="1" a="1"/>
  <c r="Z62" i="1" s="1"/>
  <c r="Z56" i="1" a="1"/>
  <c r="Z56" i="1" s="1"/>
  <c r="Z36" i="1" a="1"/>
  <c r="Z36" i="1" s="1"/>
  <c r="Z10" i="1" a="1"/>
  <c r="Z10" i="1" s="1"/>
  <c r="Z19" i="1" a="1"/>
  <c r="Z19" i="1" s="1"/>
  <c r="Z74" i="1" a="1"/>
  <c r="Z74" i="1" s="1"/>
  <c r="Z59" i="1" a="1"/>
  <c r="Z59" i="1" s="1"/>
  <c r="Z16" i="1" a="1"/>
  <c r="Z16" i="1" s="1"/>
  <c r="Z52" i="1" a="1"/>
  <c r="Z52" i="1" s="1"/>
  <c r="Z84" i="1" a="1"/>
  <c r="Z84" i="1" s="1"/>
  <c r="Z119" i="1" a="1"/>
  <c r="Z119" i="1" s="1"/>
  <c r="Z144" i="1" a="1"/>
  <c r="Z144" i="1" s="1"/>
  <c r="Z38" i="1" a="1"/>
  <c r="Z38" i="1" s="1"/>
  <c r="Z6" i="1" a="1"/>
  <c r="Z6" i="1" s="1"/>
  <c r="Z64" i="1" a="1"/>
  <c r="Z64" i="1" s="1"/>
  <c r="Z49" i="1" a="1"/>
  <c r="Z49" i="1" s="1"/>
  <c r="Z31" i="1" a="1"/>
  <c r="Z31" i="1" s="1"/>
  <c r="Z81" i="1" a="1"/>
  <c r="Z81" i="1" s="1"/>
  <c r="Z115" i="1" a="1"/>
  <c r="Z115" i="1" s="1"/>
  <c r="Z100" i="1" a="1"/>
  <c r="Z100" i="1" s="1"/>
  <c r="Z75" i="1" a="1"/>
  <c r="Z75" i="1" s="1"/>
  <c r="Z63" i="1" a="1"/>
  <c r="Z63" i="1" s="1"/>
  <c r="Z136" i="1" a="1"/>
  <c r="Z136" i="1" s="1"/>
  <c r="Z103" i="1" a="1"/>
  <c r="Z103" i="1" s="1"/>
  <c r="Z135" i="1" a="1"/>
  <c r="Z135" i="1" s="1"/>
  <c r="Z141" i="1" a="1"/>
  <c r="Z141" i="1" s="1"/>
  <c r="Z145" i="1" a="1"/>
  <c r="Z145" i="1" s="1"/>
  <c r="Z18" i="1" a="1"/>
  <c r="Z18" i="1" s="1"/>
  <c r="Z60" i="1" a="1"/>
  <c r="Z60" i="1" s="1"/>
  <c r="Z26" i="1" a="1"/>
  <c r="Z26" i="1" s="1"/>
  <c r="Z86" i="1" a="1"/>
  <c r="Z86" i="1" s="1"/>
  <c r="Z24" i="1" a="1"/>
  <c r="Z24" i="1" s="1"/>
  <c r="Z44" i="1" a="1"/>
  <c r="Z44" i="1" s="1"/>
  <c r="Z82" i="1" a="1"/>
  <c r="Z82" i="1" s="1"/>
  <c r="Z30" i="1" a="1"/>
  <c r="Z30" i="1" s="1"/>
  <c r="Z14" i="1" a="1"/>
  <c r="Z14" i="1" s="1"/>
  <c r="Z143" i="1" a="1"/>
  <c r="Z143" i="1" s="1"/>
  <c r="Z41" i="1" a="1"/>
  <c r="Z41" i="1" s="1"/>
  <c r="Z61" i="1" a="1"/>
  <c r="Z61" i="1" s="1"/>
  <c r="Z8" i="1" a="1"/>
  <c r="Z8" i="1" s="1"/>
  <c r="Z71" i="1" a="1"/>
  <c r="Z71" i="1" s="1"/>
  <c r="Z72" i="1" a="1"/>
  <c r="Z72" i="1" s="1"/>
  <c r="Z66" i="1" a="1"/>
  <c r="Z66" i="1" s="1"/>
  <c r="Z124" i="1" a="1"/>
  <c r="Z124" i="1" s="1"/>
  <c r="Z67" i="1" a="1"/>
  <c r="Z67" i="1" s="1"/>
  <c r="Z113" i="1" a="1"/>
  <c r="Z113" i="1" s="1"/>
  <c r="Z91" i="1" a="1"/>
  <c r="Z91" i="1" s="1"/>
  <c r="Z123" i="1" a="1"/>
  <c r="Z123" i="1" s="1"/>
  <c r="Z118" i="1" a="1"/>
  <c r="Z118" i="1" s="1"/>
  <c r="Z9" i="1" a="1"/>
  <c r="Z9" i="1" s="1"/>
  <c r="Z40" i="1" a="1"/>
  <c r="Z40" i="1" s="1"/>
  <c r="Z117" i="1" a="1"/>
  <c r="Z117" i="1" s="1"/>
  <c r="Z20" i="1" a="1"/>
  <c r="Z20" i="1" s="1"/>
  <c r="Z116" i="1" a="1"/>
  <c r="Z116" i="1" s="1"/>
  <c r="Z21" i="1" a="1"/>
  <c r="Z21" i="1" s="1"/>
  <c r="Z101" i="1" a="1"/>
  <c r="Z101" i="1" s="1"/>
  <c r="Z102" i="1" a="1"/>
  <c r="Z102" i="1" s="1"/>
  <c r="Z134" i="1" a="1"/>
  <c r="Z134" i="1" s="1"/>
  <c r="Z85" i="1" a="1"/>
  <c r="Z85" i="1" s="1"/>
  <c r="Z129" i="1" a="1"/>
  <c r="Z129" i="1" s="1"/>
  <c r="Z77" i="1" a="1"/>
  <c r="Z77" i="1" s="1"/>
  <c r="Z7" i="1" a="1"/>
  <c r="Z7" i="1" s="1"/>
  <c r="Z50" i="1" a="1"/>
  <c r="Z50" i="1" s="1"/>
  <c r="Z15" i="1" a="1"/>
  <c r="Z15" i="1" s="1"/>
  <c r="Z92" i="1" a="1"/>
  <c r="Z92" i="1" s="1"/>
  <c r="Z55" i="1" a="1"/>
  <c r="Z55" i="1" s="1"/>
  <c r="Z48" i="1" a="1"/>
  <c r="Z48" i="1" s="1"/>
  <c r="Z73" i="1" a="1"/>
  <c r="Z73" i="1" s="1"/>
  <c r="Z107" i="1" a="1"/>
  <c r="Z107" i="1" s="1"/>
  <c r="Z139" i="1" a="1"/>
  <c r="Z139" i="1" s="1"/>
  <c r="Z140" i="1" a="1"/>
  <c r="Z140" i="1" s="1"/>
  <c r="Z35" i="1" a="1"/>
  <c r="Z35" i="1" s="1"/>
  <c r="Z29" i="1" a="1"/>
  <c r="Z29" i="1" s="1"/>
  <c r="Z76" i="1" a="1"/>
  <c r="Z76" i="1" s="1"/>
  <c r="Z110" i="1" a="1"/>
  <c r="Z110" i="1" s="1"/>
  <c r="Z142" i="1" a="1"/>
  <c r="Z142" i="1" s="1"/>
  <c r="Z39" i="1" a="1"/>
  <c r="Z39" i="1" s="1"/>
  <c r="Z104" i="1" a="1"/>
  <c r="Z104" i="1" s="1"/>
  <c r="Z42" i="1" a="1"/>
  <c r="Z42" i="1" s="1"/>
  <c r="Z34" i="1" a="1"/>
  <c r="Z34" i="1" s="1"/>
  <c r="Z78" i="1" a="1"/>
  <c r="Z78" i="1" s="1"/>
  <c r="Z12" i="1" a="1"/>
  <c r="Z12" i="1" s="1"/>
  <c r="Z98" i="1" a="1"/>
  <c r="Z98" i="1" s="1"/>
  <c r="Z130" i="1" a="1"/>
  <c r="Z130" i="1" s="1"/>
  <c r="Z47" i="1" a="1"/>
  <c r="Z47" i="1" s="1"/>
  <c r="Z108" i="1" a="1"/>
  <c r="Z108" i="1" s="1"/>
  <c r="Z109" i="1" a="1"/>
  <c r="Z109" i="1" s="1"/>
  <c r="Z97" i="1" a="1"/>
  <c r="Z97" i="1" s="1"/>
  <c r="Z45" i="1" a="1"/>
  <c r="Z45" i="1" s="1"/>
  <c r="Z46" i="1" a="1"/>
  <c r="Z46" i="1" s="1"/>
  <c r="Z22" i="1" a="1"/>
  <c r="Z22" i="1" s="1"/>
  <c r="Z27" i="1" a="1"/>
  <c r="Z27" i="1" s="1"/>
  <c r="Z51" i="1" a="1"/>
  <c r="Z51" i="1" s="1"/>
  <c r="Z53" i="1" a="1"/>
  <c r="Z53" i="1" s="1"/>
  <c r="Z120" i="1" a="1"/>
  <c r="Z120" i="1" s="1"/>
  <c r="Z95" i="1" a="1"/>
  <c r="Z95" i="1" s="1"/>
  <c r="Z127" i="1" a="1"/>
  <c r="Z127" i="1" s="1"/>
  <c r="Z96" i="1" a="1"/>
  <c r="Z96" i="1" s="1"/>
  <c r="Z32" i="1" a="1"/>
  <c r="Z32" i="1" s="1"/>
  <c r="Z13" i="1" a="1"/>
  <c r="Z13" i="1" s="1"/>
  <c r="Z106" i="1" a="1"/>
  <c r="Z106" i="1" s="1"/>
  <c r="Z138" i="1" a="1"/>
  <c r="Z138" i="1" s="1"/>
  <c r="Z125" i="1" a="1"/>
  <c r="Z125" i="1" s="1"/>
  <c r="Z23" i="1" a="1"/>
  <c r="Z23" i="1" s="1"/>
  <c r="Z57" i="1" a="1"/>
  <c r="Z57" i="1" s="1"/>
  <c r="Z79" i="1" a="1"/>
  <c r="Z79" i="1" s="1"/>
  <c r="Z94" i="1" a="1"/>
  <c r="Z94" i="1" s="1"/>
  <c r="Z126" i="1" a="1"/>
  <c r="Z126" i="1" s="1"/>
  <c r="Z70" i="1" a="1"/>
  <c r="Z70" i="1" s="1"/>
  <c r="Z5" i="1" a="1"/>
  <c r="Z5" i="1" s="1"/>
  <c r="Z69" i="1" a="1"/>
  <c r="Z69" i="1" s="1"/>
  <c r="Z11" i="1" a="1"/>
  <c r="Z11" i="1" s="1"/>
  <c r="Z112" i="1" a="1"/>
  <c r="Z112" i="1" s="1"/>
  <c r="Z25" i="1" a="1"/>
  <c r="Z25" i="1" s="1"/>
  <c r="Z121" i="1" a="1"/>
  <c r="Z121" i="1" s="1"/>
  <c r="Z80" i="1" a="1"/>
  <c r="Z80" i="1" s="1"/>
  <c r="Z114" i="1" a="1"/>
  <c r="Z114" i="1" s="1"/>
  <c r="Z146" i="1" a="1"/>
  <c r="Z146" i="1" s="1"/>
  <c r="Z65" i="1" a="1"/>
  <c r="Z65" i="1" s="1"/>
  <c r="Z99" i="1" a="1"/>
  <c r="Z99" i="1" s="1"/>
  <c r="Z131" i="1" a="1"/>
  <c r="Z131" i="1" s="1"/>
  <c r="Z58" i="1" a="1"/>
  <c r="Z58" i="1" s="1"/>
  <c r="Z132" i="1" a="1"/>
  <c r="Z132" i="1" s="1"/>
  <c r="Z28" i="1" a="1"/>
  <c r="Z28" i="1" s="1"/>
  <c r="Z105" i="1" a="1"/>
  <c r="Z10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<sst xmlns="http://schemas.openxmlformats.org/spreadsheetml/2006/main" count="1453" uniqueCount="492">
  <si>
    <t>Serial</t>
  </si>
  <si>
    <t>STL PN</t>
  </si>
  <si>
    <t>ADIENT PN</t>
  </si>
  <si>
    <t>DESCRIPTION</t>
  </si>
  <si>
    <t>4207718-0-9</t>
  </si>
  <si>
    <t>MANUAL - FRONT RIGHT SEAT BACKREST FRAME</t>
  </si>
  <si>
    <t>4812333-0-9</t>
  </si>
  <si>
    <t>POWER - FRONT SEAT LEFT / RIGHT BACKREST FRAME - NON MEMO</t>
  </si>
  <si>
    <t>9823868280</t>
  </si>
  <si>
    <t>4207618-0-9</t>
  </si>
  <si>
    <t>MANUAL - FRONT LEFT SEAT BACKREST FRAME</t>
  </si>
  <si>
    <t>4355899-0-9</t>
  </si>
  <si>
    <t>6WAY MANUAL - FRONT LHD PASSANGER SEAT CUSHION FRAME 
6WAY MANUAL - FRONT RHD DRIVER SEAT CUSHION FRAME</t>
  </si>
  <si>
    <t>4812346-0-9</t>
  </si>
  <si>
    <t>6WAY HYBRID - FRONT LHD DRIVER SEAT CUSHION FRAME</t>
  </si>
  <si>
    <t>4207871-0-9</t>
  </si>
  <si>
    <t>6WAY MANUAL - FRONT LHD DRIVER SEAT CUSHION FRAME
6WAY MANUAL - FRONT RHD PASSENGER SEAT CUSHION FRAME</t>
  </si>
  <si>
    <t>4171294-0-8</t>
  </si>
  <si>
    <t>REAR SEAT BACKREST FRAME 40%</t>
  </si>
  <si>
    <t>4171342-0-8</t>
  </si>
  <si>
    <t>REAR SEAT BACKREST FRAME 60% W/ ARMREST</t>
  </si>
  <si>
    <t>4171338-0-8</t>
  </si>
  <si>
    <t>REAR SEAT BACKREST FRAME 60% W/O ARMREST</t>
  </si>
  <si>
    <t>4171343-0-8</t>
  </si>
  <si>
    <t>LATCH RH 40%</t>
  </si>
  <si>
    <t>4171348-0-8</t>
  </si>
  <si>
    <t>LATCH LH 60%</t>
  </si>
  <si>
    <t>4171684-0-9</t>
  </si>
  <si>
    <t>GUIDE APPUI-TETE SIEGE AV G (LISSE)
FRONT - NON LOCKING BEZEL</t>
  </si>
  <si>
    <t>4171687-0-9</t>
  </si>
  <si>
    <t>FRONT - LOCKING BEZEL</t>
  </si>
  <si>
    <t>4171695-0-9</t>
  </si>
  <si>
    <t>TRACK END CAP</t>
  </si>
  <si>
    <t>9824492180</t>
  </si>
  <si>
    <t>4171702-0-9</t>
  </si>
  <si>
    <t>LH - SIDE COVER  - 6WAY MANUAL</t>
  </si>
  <si>
    <t>9824487880</t>
  </si>
  <si>
    <t>4171705-0-9</t>
  </si>
  <si>
    <t>RH - SIDE COVER  - 6WAY MANUAL</t>
  </si>
  <si>
    <t>9824523980</t>
  </si>
  <si>
    <t>4171756-0-9</t>
  </si>
  <si>
    <t>RECLINER INNER COVER - LH</t>
  </si>
  <si>
    <t>9824522580</t>
  </si>
  <si>
    <t>4171759-0-9</t>
  </si>
  <si>
    <t>RECLINER INNER COVER - RH</t>
  </si>
  <si>
    <t>4171763-0-9</t>
  </si>
  <si>
    <t>RECLINER HANDWHEEL - HARD</t>
  </si>
  <si>
    <t>4171767-0-9</t>
  </si>
  <si>
    <t>RECLINER HANDWHEEL CAP</t>
  </si>
  <si>
    <t>6201578-0-9</t>
  </si>
  <si>
    <t>MECHANICAL LUMBAR HANDWHEEL LH &amp; RH
CDPO OPTIMIZED RADIUS</t>
  </si>
  <si>
    <t>6201620-0-9</t>
  </si>
  <si>
    <t>MECHANICAL LUMBAR HANDWHEEL CAP LH &amp; RH
CDPO OPTIMIZED RADIUS</t>
  </si>
  <si>
    <t>9824596080</t>
  </si>
  <si>
    <t>5872481-0-9</t>
  </si>
  <si>
    <t>LH HEIGHT ADJUSTER MECHANISM  LEVER
2,8°</t>
  </si>
  <si>
    <t>9824595680</t>
  </si>
  <si>
    <t>5872489-0-9</t>
  </si>
  <si>
    <t>RH HEIGHT ADJUSTER MECHANISM  LEVER
2,8°</t>
  </si>
  <si>
    <t>4171865-0-9</t>
  </si>
  <si>
    <t>LH HEIGHT ADJUSTER  LEVER</t>
  </si>
  <si>
    <t>9849854680</t>
  </si>
  <si>
    <t>4171869-0-9</t>
  </si>
  <si>
    <t>RH HEIGHT ADJUSTER  LEVER</t>
  </si>
  <si>
    <t>4171380-0-8</t>
  </si>
  <si>
    <t>LATCH COVER LH / RH</t>
  </si>
  <si>
    <t>4171385-0-8</t>
  </si>
  <si>
    <t>BELT EXIT COVER</t>
  </si>
  <si>
    <t>4171388-0-8</t>
  </si>
  <si>
    <t>LATERAL OUTER PIVOT BRACKET COVER LH</t>
  </si>
  <si>
    <t>4171389-0-8</t>
  </si>
  <si>
    <t>LATERAL OUTER PIVOT BRACKET COVER RH</t>
  </si>
  <si>
    <t>9824521280</t>
  </si>
  <si>
    <t>4171741-0-9</t>
  </si>
  <si>
    <t>LH - SIDE COVER - 4WP+2WM LEFT POWER + LUMBAR</t>
  </si>
  <si>
    <t>4171746-0-9</t>
  </si>
  <si>
    <t>RH - SIDE COVER  - 6WAY MANUAL W/ POWER + LUMBAR HYBRID</t>
  </si>
  <si>
    <t>5222357-0-9</t>
  </si>
  <si>
    <t>RECLINER HANDWHEEL - SOFT</t>
  </si>
  <si>
    <t>5324015-0-8</t>
  </si>
  <si>
    <t>ARMREST END STOP BRACKET LH</t>
  </si>
  <si>
    <t>5324123-0-8</t>
  </si>
  <si>
    <t>ARMREST END STOP BRACKET RH</t>
  </si>
  <si>
    <t>N/A</t>
  </si>
  <si>
    <t>4795975-0-8</t>
  </si>
  <si>
    <t>SKILID FRT COVER ASM</t>
  </si>
  <si>
    <t>4170935-0-8</t>
  </si>
  <si>
    <t>SKILID REAR COVER</t>
  </si>
  <si>
    <t>4232969-0-8</t>
  </si>
  <si>
    <t>SKILID SUPPORT PLATE</t>
  </si>
  <si>
    <t>6157189-E3P-9</t>
  </si>
  <si>
    <t>FRONT SEAT HEADREST LH &amp; RH - ML L3opt
MANHATTEN HORIZON 10C</t>
  </si>
  <si>
    <t>9862719080</t>
  </si>
  <si>
    <t>6156700-E3P-8</t>
  </si>
  <si>
    <t>HEADREST CENTER - ML L3opt
MANHATTEN HORIZON 10C</t>
  </si>
  <si>
    <t>9862718880</t>
  </si>
  <si>
    <t>6156711-E3P-8</t>
  </si>
  <si>
    <t>HEADREST OUTER LH / RH - ML L3opt
MANHATTEN HORIZON 10C</t>
  </si>
  <si>
    <t>9862855780</t>
  </si>
  <si>
    <t>6124684-E3P-8</t>
  </si>
  <si>
    <t>REAR SEAT ARMREST - ML L3 option</t>
  </si>
  <si>
    <t>6157178-EL2-9</t>
  </si>
  <si>
    <t>FRONT SEAT HEADREST LH &amp; RH - ML L2
VINYL BLACK MISTRAL 10m Griffine</t>
  </si>
  <si>
    <t>9862718980</t>
  </si>
  <si>
    <t>6156698-EL2-8</t>
  </si>
  <si>
    <t>HEADREST CENTER - ML L2
VINYL BLACK MISTRAL</t>
  </si>
  <si>
    <t>9862718780</t>
  </si>
  <si>
    <t>6156709-EL2-8</t>
  </si>
  <si>
    <t>HEADREST OUTER LH / RH - ML L2
VINYL BLACK MISTRAL</t>
  </si>
  <si>
    <t>4178137-0-9</t>
  </si>
  <si>
    <t xml:space="preserve">HARNESS - LHD PASSANGER - 6WAY MANUAL - SAB+SBR+HEATER+LUMBAR </t>
  </si>
  <si>
    <t>4792350-0-9</t>
  </si>
  <si>
    <t xml:space="preserve">HARNESS - LHD DRIVER - 4WAY POWER - SAB+SPS+HEATER+LUMBAR - Hybrid </t>
  </si>
  <si>
    <t>4791403-0-9</t>
  </si>
  <si>
    <t xml:space="preserve">HARNESS - LHD DRIVER - 6WAY MANUAL - SAB+SPS </t>
  </si>
  <si>
    <t>4178009-0-9</t>
  </si>
  <si>
    <t xml:space="preserve">HARNESS - LHD PASSANGER - 4WAY/6WAY MANUAL - SAB+SBR </t>
  </si>
  <si>
    <t>4177783-0-9</t>
  </si>
  <si>
    <t xml:space="preserve">HEATING MAT CUSHION </t>
  </si>
  <si>
    <t>6160573-0-9</t>
  </si>
  <si>
    <t>HEATING MAT BACKREST ML</t>
  </si>
  <si>
    <t>4171615-0-9</t>
  </si>
  <si>
    <t>CUSHION SUSPENSION MAT W/ HA SEAT (6W)</t>
  </si>
  <si>
    <t>4171641-0-9</t>
  </si>
  <si>
    <t>BACKREST SUSPENSION MAT - POWER LUMBAR + MASSAGE LH/RH</t>
  </si>
  <si>
    <t>4171626-0-9</t>
  </si>
  <si>
    <t>BACKREST SUSPENSION MAT BASIS LH/RH</t>
  </si>
  <si>
    <t>4171638-0-9</t>
  </si>
  <si>
    <t>BACKREST SUSPENSION MAT - MECHANICAL LUMBAR LHD DRIVER</t>
  </si>
  <si>
    <t>3283761-0-1</t>
  </si>
  <si>
    <t>POWER CONTROL UNIT FOR HEATING MAT-LH</t>
  </si>
  <si>
    <t>4647465-0-9</t>
  </si>
  <si>
    <t>LH - 6W HYBRID ADJUSTMENT SWITCH UNIT</t>
  </si>
  <si>
    <t>4172544-0-9</t>
  </si>
  <si>
    <t xml:space="preserve">LH - CONNECTOR SUPPORT BRACKET
</t>
  </si>
  <si>
    <t>4172547-0-9</t>
  </si>
  <si>
    <t xml:space="preserve">RH - CONNECTOR SUPPORT BRACKET
</t>
  </si>
  <si>
    <t>4172550-0-9</t>
  </si>
  <si>
    <t>SWITCH POWER LUMBAR FOR HYBRID FS LH</t>
  </si>
  <si>
    <t>4172559-0-9</t>
  </si>
  <si>
    <t>SWITCH POWER LUMBAR FOR HYBRID FS RH</t>
  </si>
  <si>
    <t>4172560-0-9</t>
  </si>
  <si>
    <t>SBR SENSOR</t>
  </si>
  <si>
    <t>4172576-0-9</t>
  </si>
  <si>
    <t>VIS FIXATION ARMATURE
MARRIAGE SCREW  - M 10 x 1 x 14; T 40</t>
  </si>
  <si>
    <t>AA38976518</t>
  </si>
  <si>
    <t>4172579-0-9</t>
  </si>
  <si>
    <t>VIS COMMANDE REHAUSSE
SCREW HEIGHT ADJUSTER MECHANISM  LEVER - M  8 x 1,25 x 8; T 30</t>
  </si>
  <si>
    <t>4172587-0-9</t>
  </si>
  <si>
    <t>FIXATION BRIN BOUCLE CEINTURE SECURITE
SCREW FOR BELT BUCKLE - M 10 x 1,5 x 15,3; T 50</t>
  </si>
  <si>
    <t>AA38976507</t>
  </si>
  <si>
    <t>4349142-0-9</t>
  </si>
  <si>
    <t>RONDELLE ONDULÉ
WASHER FOR BELT BUCKLE</t>
  </si>
  <si>
    <t>AA38982519</t>
  </si>
  <si>
    <t>119661-0-7</t>
  </si>
  <si>
    <t>FIXATION SAC GONFLABLE LAT DOSSIER SIEGE AV CONDUCTEUR
NUT SAB Fixation- M 6 x 1,0 x 9,1</t>
  </si>
  <si>
    <t>AA38978549</t>
  </si>
  <si>
    <t>5126181-0-9</t>
  </si>
  <si>
    <t>FIXATION SUPPORT CONNECTEUR 20 VOIES
RIVET CONNECTOR SUPPORT BRACKET - STEEL / STEEL Ø 6,4 MM</t>
  </si>
  <si>
    <t>2308913-0-1</t>
  </si>
  <si>
    <t>FIXATIONS COIFFE
HOG RING</t>
  </si>
  <si>
    <t>1722229-0-8</t>
  </si>
  <si>
    <t>VIS FIXATION ACCOUDOIR
SCREW - ARMREST</t>
  </si>
  <si>
    <t>2149922-0-8</t>
  </si>
  <si>
    <t>NUT - CENTER BELT RETRACTOR</t>
  </si>
  <si>
    <t>AA37893086</t>
  </si>
  <si>
    <t>4171443-0-8</t>
  </si>
  <si>
    <t>SCREW &amp; WASHER - OUTBOARD LATCH LH / RH</t>
  </si>
  <si>
    <t>3922963-0-0</t>
  </si>
  <si>
    <t>SCREW - LATERAL BRACKET COVER     (1x LH / 1x RH), SCREW - CENTER BELT EXIT COVER     (2x)</t>
  </si>
  <si>
    <t>5267567-0-8</t>
  </si>
  <si>
    <t xml:space="preserve">Rivet - Blind </t>
  </si>
  <si>
    <t>2019861-0-9</t>
  </si>
  <si>
    <t>SCREW FOR MECHANICAL LUMBAR HANDWHEEL - M x xx x xx x xx; T xx</t>
  </si>
  <si>
    <t>2019773-0-0</t>
  </si>
  <si>
    <t>VIS FIXATION COMMANDE LOMBAIRE MECA
SCREW  MECHANICAL LUMBAR MECHANISM - M x xx x xx x xx; T xx</t>
  </si>
  <si>
    <t>279198-0-0</t>
  </si>
  <si>
    <t>HOUSSE PROTECTION SIEGE
SEAT DELIVERY BAG</t>
  </si>
  <si>
    <t>4170469-0-8</t>
  </si>
  <si>
    <t>HOUSSE DE PROTECTION DOSSIER 1/3
DELIVERY BAG BACKREST 40%</t>
  </si>
  <si>
    <t>4170473-0-8</t>
  </si>
  <si>
    <t>HOUSSE DE PROTECTION DOSSIER 2/3
DELIVERY BAG BACKREST 60%</t>
  </si>
  <si>
    <t>4171277-0-8</t>
  </si>
  <si>
    <t>HOUSSE DE PROTECTION COUSSIN
DELIVERY BAG CUSHION 100%</t>
  </si>
  <si>
    <t>4171956-0-9</t>
  </si>
  <si>
    <t>5882266-0-9</t>
  </si>
  <si>
    <t>SIDE ARIBAG LH</t>
  </si>
  <si>
    <t>5882270-0-9</t>
  </si>
  <si>
    <t>SIDE AIRBAG RH</t>
  </si>
  <si>
    <t>5502149-0-8</t>
  </si>
  <si>
    <t>BRIN ENROULEUR C-S 3 POINT CENT
RETRACTOR CENTER SEAT
C43-O</t>
  </si>
  <si>
    <t>98599949ZN</t>
  </si>
  <si>
    <t>6095076-SIHYC-9</t>
  </si>
  <si>
    <t>MDL L2 - TRIM FB AB WITH MP RH 15MM
ML L2</t>
  </si>
  <si>
    <t>98619477ZN</t>
  </si>
  <si>
    <t>6095077-SIHYC-9</t>
  </si>
  <si>
    <t>MDL L2 - TRIM FB AB WITH MP LH 15MM
ML L2</t>
  </si>
  <si>
    <t>98600638ZQ</t>
  </si>
  <si>
    <t>6095105-ZEHPT-9</t>
  </si>
  <si>
    <t>MDL L3 OPT - TRIM FB AB WITH MP RH 15MM
ML L3opt</t>
  </si>
  <si>
    <t>98625615ZQ</t>
  </si>
  <si>
    <t>6095106-ZEHPT-9</t>
  </si>
  <si>
    <t>MDL L3 OPT - TRIM FB AB WITH MP LH 15MM
ML L3opt</t>
  </si>
  <si>
    <t>MDL L2 - TRIM FC 6 WAY RH 15MMML L2</t>
  </si>
  <si>
    <t>MDL L2 - TRIM FC 6 WAY LH 15MMML L2</t>
  </si>
  <si>
    <t>MDL L2 - REAR SEAT CUSHION TRIM COVER MID LIVE</t>
  </si>
  <si>
    <t>MDL L2 - REAR SEAT BACK 40% TRIM COVER WO TT WO SLIT MID LI</t>
  </si>
  <si>
    <t>MDL L2 - REAR SEAT BACK 60% - W/O ARMREST - TRIM COVER WO T</t>
  </si>
  <si>
    <t>MDL L3 OPT - TRIM FC 6 WAY RH 15MMML L3opt</t>
  </si>
  <si>
    <t>MDL L3 OPT - TRIM FC 6 WAY LH 15MMML L3opt</t>
  </si>
  <si>
    <t>MDL L3 OPT - REAR SEAT CUSHION TRIM COVER MID LIVE</t>
  </si>
  <si>
    <t>MDL L3 OPT - REAR SEAT BACK 40% TRIM COVER WO TT WO SLIT M</t>
  </si>
  <si>
    <t>MDL L3 OPT - REAR SEAT BACK 60% - W/ ARMREST - TRIM COVER W</t>
  </si>
  <si>
    <t>5086956-N_OQ</t>
  </si>
  <si>
    <t>U-RTNR 25FLx30</t>
  </si>
  <si>
    <t>5086962-N_OQ</t>
  </si>
  <si>
    <t>U-RTNR 25FLx80</t>
  </si>
  <si>
    <t>333305-165020_OQ</t>
  </si>
  <si>
    <t>FLEECE FLEECE BLACK</t>
  </si>
  <si>
    <t>109348-5G_OQ</t>
  </si>
  <si>
    <t>THD 30/3 107TEX LAMA</t>
  </si>
  <si>
    <t>109348-O4_OQ</t>
  </si>
  <si>
    <t>THD 30/3 107TEX _</t>
  </si>
  <si>
    <t>3017991-N_OQ</t>
  </si>
  <si>
    <t>THD 60/3 55TEX</t>
  </si>
  <si>
    <t>109348-1M_OQ</t>
  </si>
  <si>
    <t>THD 30/3 107TEX</t>
  </si>
  <si>
    <t>5016160-N_OQ</t>
  </si>
  <si>
    <t>EXTR LIST 5.2Bx20FLx</t>
  </si>
  <si>
    <t>3058588-N_OQ</t>
  </si>
  <si>
    <t>TOP TETHER LBL 35x40</t>
  </si>
  <si>
    <t>5348500-20_OQ</t>
  </si>
  <si>
    <t>ZIP ASSY CONVT 32*70</t>
  </si>
  <si>
    <t>1357645-1620N_OQ</t>
  </si>
  <si>
    <t>WKF-PES-G100</t>
  </si>
  <si>
    <t>1810953-N_OQ</t>
  </si>
  <si>
    <t>ID LBL 30 RP _</t>
  </si>
  <si>
    <t>1821911-N_OQ</t>
  </si>
  <si>
    <t>J-RTNR D4535x200</t>
  </si>
  <si>
    <t>2159161-N_OQ</t>
  </si>
  <si>
    <t>2159174-N_OQ</t>
  </si>
  <si>
    <t>2161353-N_OQ</t>
  </si>
  <si>
    <t>EXTR LIST 5.2B*25FL*</t>
  </si>
  <si>
    <t>2161359-N_OQ</t>
  </si>
  <si>
    <t>EXTR LIST 5.2Bx25FLx</t>
  </si>
  <si>
    <t>2618935-N_OQ</t>
  </si>
  <si>
    <t>F-RTNR 350 F-RETAINE</t>
  </si>
  <si>
    <t>3341085-N_OQ</t>
  </si>
  <si>
    <t>J-RETAINER 40MM</t>
  </si>
  <si>
    <t>4471385-N_OQ</t>
  </si>
  <si>
    <t>4471471-N_OQ</t>
  </si>
  <si>
    <t>PLAS PLATE</t>
  </si>
  <si>
    <t>5631571-N_OQ</t>
  </si>
  <si>
    <t>J-RTNR 350 J-RETAINE</t>
  </si>
  <si>
    <t>2108342-N_OQ</t>
  </si>
  <si>
    <t>F-RTNR 290 F-RETAINE</t>
  </si>
  <si>
    <t>5631576-N_OQ</t>
  </si>
  <si>
    <t>J-RTNR 580 J-RETAINE</t>
  </si>
  <si>
    <t>2172435-N_OQ</t>
  </si>
  <si>
    <t>REINF 1x110x110</t>
  </si>
  <si>
    <t>345118-N_OQ</t>
  </si>
  <si>
    <t>PLAS PLATE 1.5x80x10</t>
  </si>
  <si>
    <t>4471381-N_OQ</t>
  </si>
  <si>
    <t>4471424-N_OQ</t>
  </si>
  <si>
    <t>EXTR LIST 20FLx260</t>
  </si>
  <si>
    <t>4471427-N_OQ</t>
  </si>
  <si>
    <t>EXTR LIST 20FLx210 _</t>
  </si>
  <si>
    <t>5174723-N_OQ</t>
  </si>
  <si>
    <t>5174726-N_OQ</t>
  </si>
  <si>
    <t>4471615-N_OQ</t>
  </si>
  <si>
    <t>J-RTNR 140</t>
  </si>
  <si>
    <t>1259544-200020_OQ</t>
  </si>
  <si>
    <t>CPT TT4</t>
  </si>
  <si>
    <t>4878889-175020_OQC</t>
  </si>
  <si>
    <t>CPT-DILOURS-G500-TT2</t>
  </si>
  <si>
    <t>1504681-N_OQ4</t>
  </si>
  <si>
    <t>LOOP TAPE 20MM TOOL</t>
  </si>
  <si>
    <t>1504680-N_OQ4</t>
  </si>
  <si>
    <t>HOOK TAPE 20 RP</t>
  </si>
  <si>
    <t>1699368-N_OQ</t>
  </si>
  <si>
    <t>LOOP TAPE 40 RP NEUT</t>
  </si>
  <si>
    <t>6036614-20_OQ</t>
  </si>
  <si>
    <t>ZIP ASSY CONCEAL 17x</t>
  </si>
  <si>
    <t>3001173-M2_OQ</t>
  </si>
  <si>
    <t>I-SIZE BUTTON</t>
  </si>
  <si>
    <t>3001176-55_OQ</t>
  </si>
  <si>
    <t>I-SIZE BACK WASHER</t>
  </si>
  <si>
    <t>2258512-N_OQ</t>
  </si>
  <si>
    <t>3116561-RA_OQ</t>
  </si>
  <si>
    <t>109348-55_OQ</t>
  </si>
  <si>
    <t>L2</t>
  </si>
  <si>
    <t>L3 Opt.</t>
  </si>
  <si>
    <t>MOQ</t>
  </si>
  <si>
    <t>QTY L2</t>
  </si>
  <si>
    <t>QTY L3 Opt.</t>
  </si>
  <si>
    <t>2847667-H1</t>
  </si>
  <si>
    <t>TRIM CLIP</t>
  </si>
  <si>
    <t>3465875-C4</t>
  </si>
  <si>
    <t>MOQ Order L2</t>
  </si>
  <si>
    <t>MOQ Order L3 OPT</t>
  </si>
  <si>
    <t>HOKK.YKK Z15-3 X 100MM</t>
  </si>
  <si>
    <t>CUSHION EPP_INSERT FOR CENTER SEAT PSA</t>
  </si>
  <si>
    <t>QTY after MOQ L2</t>
  </si>
  <si>
    <t>QTY after MOQ L3 Opt</t>
  </si>
  <si>
    <t>Final order L2</t>
  </si>
  <si>
    <t>Final order L3 Opt.</t>
  </si>
  <si>
    <t>Final Stock</t>
  </si>
  <si>
    <t>L3 OPT</t>
  </si>
  <si>
    <t>Diff with stock</t>
  </si>
  <si>
    <t>Diff with stock in MOQ</t>
  </si>
  <si>
    <t>Supplier</t>
  </si>
  <si>
    <t>Adient Zaragoza</t>
  </si>
  <si>
    <t>Adient Kenitra</t>
  </si>
  <si>
    <t>4878892-190009_OQ</t>
  </si>
  <si>
    <t>THD 25/3 107TEX ANDR</t>
  </si>
  <si>
    <t>BRASILIA F2-D28 CKS-G30 HZD MISTRAL</t>
  </si>
  <si>
    <t>6608275-1900C29_OQ</t>
  </si>
  <si>
    <t>CURITIBA G345 W/2MM LAM FOAM 40KG/M3 AND CKS 30G/M2</t>
  </si>
  <si>
    <t>6608276-177012_OQ</t>
  </si>
  <si>
    <t>ORNIS W/2MM LAM FOAM 40KG/M3 AND WKS 60G/M2</t>
  </si>
  <si>
    <t>4881344-142004_OQ</t>
  </si>
  <si>
    <t>ALCANTARA F2-D28 CKS-G30 ZEPHIR</t>
  </si>
  <si>
    <t>6322871-1800B01_OQ</t>
  </si>
  <si>
    <t>HELLO F2-D28 WKS-G65 SIROCCO (TWO TONE)</t>
  </si>
  <si>
    <t>2515912-1900B74_OQ</t>
  </si>
  <si>
    <t>RIMINI 2mm LF020-28 S030 BLEU ALIZEE (c/o C4X Limited Edition)</t>
  </si>
  <si>
    <t>Sage Apollo</t>
  </si>
  <si>
    <t>Sage Keintra</t>
  </si>
  <si>
    <t>4878914-1500App_OQ</t>
  </si>
  <si>
    <t>VNL-TEP ISABELLA V249 HYC NIXON unlaminated</t>
  </si>
  <si>
    <t>4878914-1500B0_OQ</t>
  </si>
  <si>
    <t>VNL-TEP ISABELLA V249 HPT GUERANDE unlaminated</t>
  </si>
  <si>
    <t>4881396-1680N_OQ</t>
  </si>
  <si>
    <t xml:space="preserve">FOAM15-D43 WKS-G48 </t>
  </si>
  <si>
    <t>5013314-1600N_OQ</t>
  </si>
  <si>
    <t xml:space="preserve">FOAM6-D65 NW PES-G38 </t>
  </si>
  <si>
    <t>unit</t>
  </si>
  <si>
    <t>EA</t>
  </si>
  <si>
    <t>lm</t>
  </si>
  <si>
    <t>6095078-SIHYC-9</t>
  </si>
  <si>
    <t>6095079-SIHYC-9</t>
  </si>
  <si>
    <t>6095082-SIHYC-8</t>
  </si>
  <si>
    <t>6095083-SIHYC-8</t>
  </si>
  <si>
    <t>6095084-SIHYC-8</t>
  </si>
  <si>
    <t>6095107-ZEHPT-9</t>
  </si>
  <si>
    <t>6095108-ZEHPT-9</t>
  </si>
  <si>
    <t>6095111-ZEHPT-8</t>
  </si>
  <si>
    <t>6095112-ZEHPT-8</t>
  </si>
  <si>
    <t>6095113-ZEHPT-8</t>
  </si>
  <si>
    <t>m</t>
  </si>
  <si>
    <t>accumulative order</t>
  </si>
  <si>
    <t>non accumulative order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</si>
  <si>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</si>
  <si>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</si>
  <si>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</si>
  <si>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</si>
  <si>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</si>
  <si>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</si>
  <si>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</si>
  <si>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</si>
  <si>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</si>
  <si>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</si>
  <si>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</si>
  <si>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</si>
  <si>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Monthly Volume</t>
  </si>
  <si>
    <t>Cumulative Volume</t>
  </si>
  <si>
    <t>Before SOP</t>
  </si>
  <si>
    <t>After SOP</t>
  </si>
  <si>
    <t>Level</t>
  </si>
  <si>
    <t>Level MIX</t>
  </si>
  <si>
    <t>Level 2</t>
  </si>
  <si>
    <t>MIX rule not respected</t>
  </si>
  <si>
    <t>Level 3</t>
  </si>
  <si>
    <t>March and April</t>
  </si>
  <si>
    <t>Driver</t>
  </si>
  <si>
    <t>Passenger</t>
  </si>
  <si>
    <t>Rearseat</t>
  </si>
  <si>
    <t>PIV sample</t>
  </si>
  <si>
    <t>QTY</t>
  </si>
  <si>
    <t>C43 MOBICA Driver Seat 6WM LHD, L2, FABRIC TEP</t>
  </si>
  <si>
    <t>C43 MOBICA Driver Seat 6WM LHD, L3 opt ALCANTARA / FABRIC</t>
  </si>
  <si>
    <t>C43 MOBICA Rear Seat, L2, FABRIC TEP</t>
  </si>
  <si>
    <t>C43 MOBICA Rear Seat, L3 opt ALCANTARA / FABRIC</t>
  </si>
  <si>
    <t>C43 MOBICA Passenger Seat 6WM LHD, L2 , FABRIC TEP</t>
  </si>
  <si>
    <t>C43 MOBICA Passenger Seat 6WM LHD, L3 opt ALCANTARA / FABRIC</t>
  </si>
  <si>
    <t>New L2</t>
  </si>
  <si>
    <t>New L3 Opt</t>
  </si>
  <si>
    <t>BELT BUCKLE LH  &amp; RH</t>
  </si>
  <si>
    <t>Descrbtion</t>
  </si>
  <si>
    <t>July</t>
  </si>
  <si>
    <t>Aug</t>
  </si>
  <si>
    <t>Tesca Spain</t>
  </si>
  <si>
    <t>Tesca Morocco</t>
  </si>
  <si>
    <t>L3</t>
  </si>
  <si>
    <t>AML-WIR-Uzig-110</t>
  </si>
  <si>
    <t>سلك حرف U متعرج 110</t>
  </si>
  <si>
    <t>AML-WIR-Uzig-120</t>
  </si>
  <si>
    <t>سلك حرف U متعرج 120</t>
  </si>
  <si>
    <t>AML-WIR-Uzig-115</t>
  </si>
  <si>
    <t>سلك حرف U متعرج سيتروين 115</t>
  </si>
  <si>
    <t>AML-WIR-Uzig-125</t>
  </si>
  <si>
    <t>سلك حرف U متعرج 125</t>
  </si>
  <si>
    <t>AML-WIR-030</t>
  </si>
  <si>
    <t>سلك مقاس 30</t>
  </si>
  <si>
    <t>AML-WIR-024</t>
  </si>
  <si>
    <t>سلك مقاس 24</t>
  </si>
  <si>
    <t>AML-WIR-020</t>
  </si>
  <si>
    <t>سلك مقاس 20</t>
  </si>
  <si>
    <t>SAP</t>
  </si>
  <si>
    <t>EA/M</t>
  </si>
  <si>
    <t>L2 cons</t>
  </si>
  <si>
    <t>L3 cons</t>
  </si>
  <si>
    <t>داكرون</t>
  </si>
  <si>
    <t>ASF-CIT-C43L3-CH01</t>
  </si>
  <si>
    <t>Chassis Insert Cushion100% Citroen C43L3</t>
  </si>
  <si>
    <t>شاسيه 100% قاعدة سيتروين Lvl 3</t>
  </si>
  <si>
    <t>ASF-CIT-C43L2-CH01</t>
  </si>
  <si>
    <t>شاسيه 100% قاعدة سيتروين Lvl 2</t>
  </si>
  <si>
    <t>AML-FBRDC-0001-00</t>
  </si>
  <si>
    <t>KG</t>
  </si>
  <si>
    <t>Units L2</t>
  </si>
  <si>
    <t>Units L3</t>
  </si>
  <si>
    <t>Total</t>
  </si>
  <si>
    <t>ASF-CIT-C43-FO01</t>
  </si>
  <si>
    <t>Foam  front back RH Citroen C43</t>
  </si>
  <si>
    <t>فوم ظهرأمامي يمين سيتروين C43</t>
  </si>
  <si>
    <t>ASF-CIT-C43-FO02</t>
  </si>
  <si>
    <t>Foam  front back LH Citroen C43</t>
  </si>
  <si>
    <t>فوم ظهرأمامي شمال سيتروين C43</t>
  </si>
  <si>
    <t>ASF-CIT-C43-FO03</t>
  </si>
  <si>
    <t>Foam  front cushion RH Citroen C43</t>
  </si>
  <si>
    <t>فوم قاعدة أمامي يمين سيتروين C43</t>
  </si>
  <si>
    <t>ASF-CIT-C43-FO04</t>
  </si>
  <si>
    <t>Foam  front cushion LH Citroen C43</t>
  </si>
  <si>
    <t>فوم قاعدة أمامي شمال سيتروين C43</t>
  </si>
  <si>
    <t>ASF-CIT-C43-FO05</t>
  </si>
  <si>
    <t>Foam  back 40% Citroen C43</t>
  </si>
  <si>
    <t>فوم ظهر 40% سيتروين C43</t>
  </si>
  <si>
    <t>ASF-CIT-C43L3-FO06</t>
  </si>
  <si>
    <t>Foam  back 60% Citroen C43 Lvl 3</t>
  </si>
  <si>
    <t>فوم ظهر 60% سيتروين C43 Lvl 3</t>
  </si>
  <si>
    <t>ASF-CIT-C43-FO07</t>
  </si>
  <si>
    <t>Foam cushion 100% Citroen C43</t>
  </si>
  <si>
    <t>فوم قاعدة خلفي 100% سيتروين C43</t>
  </si>
  <si>
    <t>ASF-C43-L3-TC3-01</t>
  </si>
  <si>
    <t>Trim cover Front cushion RH C43 Lvl 3</t>
  </si>
  <si>
    <t xml:space="preserve">كسوة قاعدة أمامي يمين Lvl 3 C43 </t>
  </si>
  <si>
    <t>ASF-C43-L3-TC4-01</t>
  </si>
  <si>
    <t>Trim cover Front cushion LH C43 Lvl 3</t>
  </si>
  <si>
    <t xml:space="preserve">كسوة قاعدة أمامي شمال Lvl 3 C43 </t>
  </si>
  <si>
    <t>ASF-C43-L3-TC5-01</t>
  </si>
  <si>
    <t>Trim cover back 40% C43 Lvl 3 white</t>
  </si>
  <si>
    <t xml:space="preserve">كسوة ظهر 40% Lvl 3 C43 </t>
  </si>
  <si>
    <t>ASF-C43-L3-TC6-01</t>
  </si>
  <si>
    <t>Trim cover back 60% C43 Lvl 3 white</t>
  </si>
  <si>
    <t xml:space="preserve">كسوة ظهر 60% Lvl 3 C43 </t>
  </si>
  <si>
    <t>ASF-C43-L3-TC7-01</t>
  </si>
  <si>
    <t>Trim cover cushion 100% C43 Lvl 3 white</t>
  </si>
  <si>
    <t xml:space="preserve">كسوة قاعدة 100% Lvl 3 C43 </t>
  </si>
  <si>
    <t>Descrbtion ENG</t>
  </si>
  <si>
    <t>Descrbtion AR</t>
  </si>
  <si>
    <t>ASF-CIT-C43L2-FO06</t>
  </si>
  <si>
    <t>Citroen Foam C43 Lvl 2  back 60%</t>
  </si>
  <si>
    <t>فوم سيتروينC43 Lvl 2 ظهر 60%</t>
  </si>
  <si>
    <t>Foam</t>
  </si>
  <si>
    <t>Trim covers</t>
  </si>
  <si>
    <t>ASF-C43-L2-TC4-90</t>
  </si>
  <si>
    <t>ASF-C43-L2-TC5-90</t>
  </si>
  <si>
    <t>ASF-C43-L2-TC6-90</t>
  </si>
  <si>
    <t>ASF-C43-L2-TC7-90</t>
  </si>
  <si>
    <t>ASF-C43-L2-TC8-90</t>
  </si>
  <si>
    <t>Trim cover Front cushion RH C43 Lvl2</t>
  </si>
  <si>
    <t>كسوة قاعدة أمامي يمين Lvl 2 C43 اسود</t>
  </si>
  <si>
    <t>Trim cover Front cushion LH C43 Lvl2</t>
  </si>
  <si>
    <t>كسوة قاعدة أمامي شمال Lvl 2 C43 اسود</t>
  </si>
  <si>
    <t>Trim cover back 40% C43 Lvl 2 Black</t>
  </si>
  <si>
    <t>كسوة ظهر 40% Lvl 2 C43 اسود</t>
  </si>
  <si>
    <t>Trim cover back 60% C43 Lvl 2 Black</t>
  </si>
  <si>
    <t>كسوة ظهر 60% Lvl 2 C43 اسود</t>
  </si>
  <si>
    <t>Trim cover cushion 100% C43 Lvl 2 Black</t>
  </si>
  <si>
    <t>كسوة قاعدة 100% Lvl 2 C43 اسود</t>
  </si>
  <si>
    <t>Chassis Insert Cushion100% Citroen C43L2</t>
  </si>
  <si>
    <t>Lots required from Stellantis</t>
  </si>
  <si>
    <t>Month</t>
  </si>
  <si>
    <t>June</t>
  </si>
  <si>
    <t>Sep</t>
  </si>
  <si>
    <t>Oct</t>
  </si>
  <si>
    <t>Nov</t>
  </si>
  <si>
    <t>Dec</t>
  </si>
  <si>
    <t>Sum</t>
  </si>
  <si>
    <t>Planning</t>
  </si>
  <si>
    <t>Purchasing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</si>
</sst>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\ &quot;€&quot;_-;\-* #,##0.00\ &quot;€&quot;_-;_-* &quot;-&quot;??\ &quot;€&quot;_-;_-@_-"/>
    <numFmt numFmtId="165" formatCode="_-* #,##0.00\ [$€]_-;\-* #,##0.00\ [$€]_-;_-* &quot;-&quot;??\ [$€]_-;_-@_-"/>
    <numFmt numFmtId="166" formatCode="0.0"/>
    <numFmt numFmtId="167" formatCode="_-* #,##0.00\ &quot;DM&quot;_-;\-* #,##0.00\ &quot;DM&quot;_-;_-* &quot;-&quot;??\ &quot;DM&quot;_-;_-@_-"/>
    <numFmt numFmtId="168" formatCode="0;0;;@"/>
  </numFmts>
  <fonts count="28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rial"/>
      <family val="2"/>
    </font>
    <font>
      <b/>
      <sz val="9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ptos Narrow"/>
      <family val="2"/>
      <scheme val="minor"/>
    </font>
    <font>
      <sz val="10"/>
      <name val="Opel Sans"/>
      <family val="2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Times New Roman"/>
      <family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Arial Unicode MS"/>
      <family val="2"/>
    </font>
    <font>
      <b/>
      <sz val="10"/>
      <name val="Arial Unicode MS"/>
      <family val="2"/>
    </font>
    <font>
      <sz val="12"/>
      <color theme="1"/>
      <name val="Aptos Narrow"/>
      <family val="2"/>
      <scheme val="minor"/>
    </font>
    <font>
      <b/>
      <sz val="12"/>
      <name val="Arial Unicode MS"/>
      <family val="2"/>
    </font>
    <font>
      <b/>
      <sz val="12"/>
      <color theme="1"/>
      <name val="Aptos Narrow"/>
      <family val="2"/>
      <scheme val="minor"/>
    </font>
    <font>
      <sz val="12"/>
      <color rgb="FF215E99"/>
      <name val="Calibri"/>
      <family val="2"/>
    </font>
    <font>
      <sz val="11"/>
      <color theme="1"/>
      <name val="Cambria"/>
      <family val="1"/>
    </font>
    <font>
      <b/>
      <sz val="22"/>
      <color theme="1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9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59">
    <xf numFmtId="0" fontId="0" fillId="0" borderId="0"/>
    <xf numFmtId="0" fontId="6" fillId="0" borderId="0"/>
    <xf numFmtId="0" fontId="7" fillId="0" borderId="0"/>
    <xf numFmtId="0" fontId="1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164" fontId="9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6" fillId="0" borderId="0"/>
    <xf numFmtId="165" fontId="6" fillId="0" borderId="0"/>
    <xf numFmtId="9" fontId="6" fillId="0" borderId="0" applyFont="0" applyFill="0" applyBorder="0" applyAlignment="0" applyProtection="0"/>
    <xf numFmtId="165" fontId="11" fillId="0" borderId="0" applyNumberFormat="0" applyFill="0" applyBorder="0" applyAlignment="0" applyProtection="0">
      <alignment vertical="top"/>
      <protection locked="0"/>
    </xf>
    <xf numFmtId="165" fontId="6" fillId="0" borderId="0"/>
    <xf numFmtId="166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5" fontId="6" fillId="0" borderId="0"/>
    <xf numFmtId="0" fontId="9" fillId="0" borderId="0"/>
    <xf numFmtId="0" fontId="12" fillId="0" borderId="0" applyNumberFormat="0" applyFill="0" applyBorder="0" applyAlignment="0" applyProtection="0"/>
    <xf numFmtId="0" fontId="6" fillId="0" borderId="0"/>
    <xf numFmtId="0" fontId="6" fillId="0" borderId="0" applyFont="0" applyFill="0" applyBorder="0" applyAlignment="0" applyProtection="0"/>
    <xf numFmtId="0" fontId="3" fillId="0" borderId="0"/>
    <xf numFmtId="0" fontId="9" fillId="0" borderId="0"/>
    <xf numFmtId="165" fontId="9" fillId="0" borderId="0"/>
    <xf numFmtId="164" fontId="9" fillId="0" borderId="0" applyFont="0" applyFill="0" applyBorder="0" applyAlignment="0" applyProtection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0" fontId="13" fillId="0" borderId="0"/>
    <xf numFmtId="0" fontId="9" fillId="0" borderId="0"/>
    <xf numFmtId="0" fontId="6" fillId="0" borderId="0"/>
    <xf numFmtId="0" fontId="6" fillId="13" borderId="0"/>
    <xf numFmtId="49" fontId="20" fillId="6" borderId="1">
      <alignment vertical="top" wrapText="1"/>
    </xf>
    <xf numFmtId="22" fontId="20" fillId="6" borderId="1">
      <alignment vertical="top" wrapText="1"/>
    </xf>
    <xf numFmtId="168" fontId="20" fillId="14" borderId="1">
      <alignment horizontal="left" vertical="top" wrapText="1"/>
    </xf>
    <xf numFmtId="49" fontId="20" fillId="15" borderId="1">
      <alignment horizontal="left" vertical="top" wrapText="1"/>
      <protection locked="0"/>
    </xf>
    <xf numFmtId="0" fontId="21" fillId="0" borderId="1">
      <alignment horizontal="center" vertical="top" wrapText="1"/>
    </xf>
    <xf numFmtId="0" fontId="7" fillId="0" borderId="0"/>
    <xf numFmtId="0" fontId="22" fillId="0" borderId="0"/>
    <xf numFmtId="49" fontId="20" fillId="0" borderId="27" applyFill="0">
      <alignment vertical="top" wrapText="1"/>
    </xf>
    <xf numFmtId="49" fontId="20" fillId="0" borderId="28" applyFill="0">
      <alignment vertical="top" wrapText="1"/>
    </xf>
    <xf numFmtId="22" fontId="20" fillId="0" borderId="29" applyFill="0">
      <alignment vertical="top" wrapText="1"/>
    </xf>
    <xf numFmtId="49" fontId="20" fillId="0" borderId="30" applyFill="0">
      <alignment vertical="top" wrapText="1"/>
    </xf>
    <xf numFmtId="49" fontId="20" fillId="0" borderId="22" applyFill="0">
      <alignment vertical="top" wrapText="1"/>
    </xf>
    <xf numFmtId="49" fontId="20" fillId="0" borderId="2" applyFill="0">
      <alignment vertical="top" wrapText="1"/>
    </xf>
    <xf numFmtId="49" fontId="20" fillId="0" borderId="26" applyFill="0">
      <alignment vertical="top" wrapText="1"/>
    </xf>
    <xf numFmtId="49" fontId="20" fillId="0" borderId="29" applyFill="0">
      <alignment vertical="top" wrapText="1"/>
    </xf>
    <xf numFmtId="0" fontId="6" fillId="16" borderId="0" applyNumberFormat="0" applyFont="0" applyBorder="0" applyAlignment="0"/>
    <xf numFmtId="49" fontId="20" fillId="6" borderId="24">
      <alignment horizontal="left" vertical="top" wrapText="1"/>
    </xf>
    <xf numFmtId="168" fontId="21" fillId="0" borderId="1">
      <alignment horizontal="left" vertical="top" wrapText="1"/>
    </xf>
    <xf numFmtId="168" fontId="6" fillId="0" borderId="0" applyFont="0" applyFill="0" applyBorder="0">
      <alignment vertical="top" wrapText="1"/>
    </xf>
    <xf numFmtId="168" fontId="21" fillId="0" borderId="0" applyFill="0" applyBorder="0">
      <alignment vertical="top" wrapText="1"/>
    </xf>
    <xf numFmtId="49" fontId="23" fillId="17" borderId="0">
      <alignment horizontal="left" vertical="top" wrapText="1"/>
    </xf>
    <xf numFmtId="0" fontId="14" fillId="0" borderId="32" applyNumberFormat="0" applyFill="0" applyAlignment="0" applyProtection="0"/>
  </cellStyleXfs>
  <cellXfs count="15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1" fontId="3" fillId="4" borderId="1" xfId="0" applyNumberFormat="1" applyFont="1" applyFill="1" applyBorder="1" applyAlignment="1">
      <alignment horizontal="left"/>
    </xf>
    <xf numFmtId="2" fontId="4" fillId="4" borderId="1" xfId="0" applyNumberFormat="1" applyFont="1" applyFill="1" applyBorder="1" applyAlignment="1">
      <alignment horizontal="left"/>
    </xf>
    <xf numFmtId="0" fontId="0" fillId="4" borderId="1" xfId="0" applyFill="1" applyBorder="1" applyAlignment="1">
      <alignment vertical="center"/>
    </xf>
    <xf numFmtId="1" fontId="5" fillId="0" borderId="1" xfId="0" applyNumberFormat="1" applyFont="1" applyBorder="1" applyAlignment="1">
      <alignment horizontal="center"/>
    </xf>
    <xf numFmtId="0" fontId="0" fillId="0" borderId="1" xfId="0" applyBorder="1"/>
    <xf numFmtId="0" fontId="2" fillId="5" borderId="1" xfId="0" applyFont="1" applyFill="1" applyBorder="1"/>
    <xf numFmtId="0" fontId="2" fillId="5" borderId="2" xfId="0" applyFont="1" applyFill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1" fontId="5" fillId="3" borderId="1" xfId="0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left" vertical="center"/>
    </xf>
    <xf numFmtId="2" fontId="0" fillId="4" borderId="1" xfId="0" applyNumberFormat="1" applyFill="1" applyBorder="1"/>
    <xf numFmtId="0" fontId="3" fillId="6" borderId="1" xfId="3" applyFont="1" applyFill="1" applyBorder="1" applyAlignment="1">
      <alignment horizontal="right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5" borderId="0" xfId="0" applyFont="1" applyFill="1"/>
    <xf numFmtId="0" fontId="3" fillId="9" borderId="1" xfId="3" applyFont="1" applyFill="1" applyBorder="1" applyAlignment="1">
      <alignment horizontal="right"/>
    </xf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horizontal="center" vertical="center"/>
    </xf>
    <xf numFmtId="1" fontId="3" fillId="8" borderId="1" xfId="0" applyNumberFormat="1" applyFont="1" applyFill="1" applyBorder="1" applyAlignment="1">
      <alignment horizontal="left"/>
    </xf>
    <xf numFmtId="2" fontId="4" fillId="8" borderId="1" xfId="0" applyNumberFormat="1" applyFont="1" applyFill="1" applyBorder="1" applyAlignment="1">
      <alignment horizontal="left"/>
    </xf>
    <xf numFmtId="2" fontId="0" fillId="8" borderId="1" xfId="0" applyNumberFormat="1" applyFill="1" applyBorder="1"/>
    <xf numFmtId="0" fontId="0" fillId="10" borderId="1" xfId="0" applyFill="1" applyBorder="1" applyAlignment="1">
      <alignment vertical="center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/>
    <xf numFmtId="0" fontId="0" fillId="10" borderId="1" xfId="0" applyFill="1" applyBorder="1" applyAlignment="1">
      <alignment vertical="center" wrapText="1"/>
    </xf>
    <xf numFmtId="0" fontId="0" fillId="10" borderId="1" xfId="0" applyFill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16" fillId="0" borderId="0" xfId="0" applyFont="1"/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8" xfId="0" applyFont="1" applyBorder="1" applyAlignment="1">
      <alignment vertical="center"/>
    </xf>
    <xf numFmtId="0" fontId="18" fillId="0" borderId="7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6" fillId="0" borderId="11" xfId="0" applyFont="1" applyBorder="1" applyAlignment="1">
      <alignment vertical="center"/>
    </xf>
    <xf numFmtId="0" fontId="16" fillId="0" borderId="10" xfId="0" applyFont="1" applyBorder="1" applyAlignment="1">
      <alignment vertical="center"/>
    </xf>
    <xf numFmtId="0" fontId="17" fillId="11" borderId="11" xfId="0" applyFont="1" applyFill="1" applyBorder="1" applyAlignment="1">
      <alignment horizontal="center" vertical="center"/>
    </xf>
    <xf numFmtId="0" fontId="16" fillId="0" borderId="5" xfId="0" applyFont="1" applyBorder="1" applyAlignment="1">
      <alignment vertical="center"/>
    </xf>
    <xf numFmtId="0" fontId="16" fillId="9" borderId="10" xfId="0" applyFont="1" applyFill="1" applyBorder="1" applyAlignment="1">
      <alignment vertical="center"/>
    </xf>
    <xf numFmtId="0" fontId="16" fillId="7" borderId="10" xfId="0" applyFont="1" applyFill="1" applyBorder="1" applyAlignment="1">
      <alignment vertical="center"/>
    </xf>
    <xf numFmtId="0" fontId="16" fillId="7" borderId="11" xfId="0" applyFont="1" applyFill="1" applyBorder="1" applyAlignment="1">
      <alignment vertical="center"/>
    </xf>
    <xf numFmtId="0" fontId="16" fillId="7" borderId="13" xfId="0" applyFont="1" applyFill="1" applyBorder="1" applyAlignment="1">
      <alignment vertical="center"/>
    </xf>
    <xf numFmtId="0" fontId="16" fillId="0" borderId="7" xfId="0" applyFont="1" applyBorder="1" applyAlignment="1">
      <alignment vertical="center"/>
    </xf>
    <xf numFmtId="0" fontId="18" fillId="12" borderId="6" xfId="0" applyFont="1" applyFill="1" applyBorder="1" applyAlignment="1">
      <alignment horizontal="center" vertical="center"/>
    </xf>
    <xf numFmtId="0" fontId="18" fillId="12" borderId="7" xfId="0" applyFont="1" applyFill="1" applyBorder="1" applyAlignment="1">
      <alignment horizontal="center" vertical="center"/>
    </xf>
    <xf numFmtId="1" fontId="3" fillId="6" borderId="0" xfId="0" applyNumberFormat="1" applyFont="1" applyFill="1" applyAlignment="1">
      <alignment horizontal="center"/>
    </xf>
    <xf numFmtId="0" fontId="18" fillId="3" borderId="7" xfId="0" applyFont="1" applyFill="1" applyBorder="1" applyAlignment="1">
      <alignment horizontal="center" vertical="center"/>
    </xf>
    <xf numFmtId="1" fontId="18" fillId="0" borderId="7" xfId="0" applyNumberFormat="1" applyFont="1" applyBorder="1" applyAlignment="1">
      <alignment horizontal="center" vertical="center"/>
    </xf>
    <xf numFmtId="0" fontId="0" fillId="3" borderId="0" xfId="0" applyFill="1"/>
    <xf numFmtId="0" fontId="14" fillId="0" borderId="1" xfId="0" applyFont="1" applyBorder="1" applyAlignment="1">
      <alignment vertical="center"/>
    </xf>
    <xf numFmtId="1" fontId="0" fillId="0" borderId="0" xfId="0" applyNumberFormat="1"/>
    <xf numFmtId="1" fontId="0" fillId="0" borderId="1" xfId="0" applyNumberFormat="1" applyBorder="1"/>
    <xf numFmtId="0" fontId="0" fillId="12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2" fontId="0" fillId="3" borderId="1" xfId="0" applyNumberFormat="1" applyFill="1" applyBorder="1"/>
    <xf numFmtId="0" fontId="25" fillId="0" borderId="1" xfId="0" applyFont="1" applyBorder="1" applyAlignment="1">
      <alignment horizontal="center" vertical="top"/>
    </xf>
    <xf numFmtId="0" fontId="0" fillId="18" borderId="1" xfId="0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0" fillId="19" borderId="1" xfId="0" applyFill="1" applyBorder="1" applyAlignment="1">
      <alignment horizontal="center" vertical="top"/>
    </xf>
    <xf numFmtId="0" fontId="0" fillId="19" borderId="1" xfId="0" applyFill="1" applyBorder="1"/>
    <xf numFmtId="0" fontId="26" fillId="20" borderId="1" xfId="0" applyFont="1" applyFill="1" applyBorder="1" applyAlignment="1">
      <alignment horizontal="left" vertical="center"/>
    </xf>
    <xf numFmtId="0" fontId="26" fillId="20" borderId="1" xfId="0" applyFont="1" applyFill="1" applyBorder="1" applyAlignment="1">
      <alignment horizontal="right" vertical="center"/>
    </xf>
    <xf numFmtId="0" fontId="26" fillId="9" borderId="1" xfId="0" applyFont="1" applyFill="1" applyBorder="1" applyAlignment="1">
      <alignment horizontal="left" vertical="center"/>
    </xf>
    <xf numFmtId="0" fontId="26" fillId="9" borderId="1" xfId="0" applyFont="1" applyFill="1" applyBorder="1" applyAlignment="1">
      <alignment horizontal="right" vertical="center"/>
    </xf>
    <xf numFmtId="0" fontId="26" fillId="18" borderId="0" xfId="0" applyFont="1" applyFill="1" applyAlignment="1">
      <alignment horizontal="left" vertical="center"/>
    </xf>
    <xf numFmtId="0" fontId="26" fillId="18" borderId="0" xfId="0" applyFont="1" applyFill="1" applyAlignment="1">
      <alignment horizontal="right" vertical="center"/>
    </xf>
    <xf numFmtId="0" fontId="0" fillId="18" borderId="0" xfId="0" applyFill="1"/>
    <xf numFmtId="0" fontId="0" fillId="0" borderId="25" xfId="0" applyBorder="1"/>
    <xf numFmtId="0" fontId="0" fillId="0" borderId="22" xfId="0" applyBorder="1"/>
    <xf numFmtId="0" fontId="0" fillId="0" borderId="31" xfId="0" applyBorder="1"/>
    <xf numFmtId="0" fontId="14" fillId="21" borderId="36" xfId="0" applyFont="1" applyFill="1" applyBorder="1" applyAlignment="1">
      <alignment horizontal="center" vertical="center"/>
    </xf>
    <xf numFmtId="0" fontId="14" fillId="21" borderId="1" xfId="0" applyFont="1" applyFill="1" applyBorder="1" applyAlignment="1">
      <alignment horizontal="center" vertical="center"/>
    </xf>
    <xf numFmtId="0" fontId="14" fillId="21" borderId="37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4" fillId="21" borderId="38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4" fillId="21" borderId="40" xfId="0" applyFont="1" applyFill="1" applyBorder="1" applyAlignment="1">
      <alignment horizontal="center" vertical="center"/>
    </xf>
    <xf numFmtId="0" fontId="14" fillId="0" borderId="41" xfId="58" applyBorder="1" applyAlignment="1">
      <alignment horizontal="center" vertical="center"/>
    </xf>
    <xf numFmtId="0" fontId="14" fillId="0" borderId="42" xfId="58" applyBorder="1" applyAlignment="1">
      <alignment horizontal="center" vertical="center"/>
    </xf>
    <xf numFmtId="0" fontId="0" fillId="22" borderId="1" xfId="0" applyFill="1" applyBorder="1" applyAlignment="1">
      <alignment vertical="center"/>
    </xf>
    <xf numFmtId="0" fontId="0" fillId="22" borderId="1" xfId="0" applyFill="1" applyBorder="1" applyAlignment="1">
      <alignment horizontal="center" vertical="center"/>
    </xf>
    <xf numFmtId="0" fontId="0" fillId="22" borderId="1" xfId="0" applyFill="1" applyBorder="1"/>
    <xf numFmtId="1" fontId="5" fillId="22" borderId="1" xfId="0" applyNumberFormat="1" applyFont="1" applyFill="1" applyBorder="1" applyAlignment="1">
      <alignment horizontal="center"/>
    </xf>
    <xf numFmtId="0" fontId="0" fillId="22" borderId="0" xfId="0" applyFill="1"/>
    <xf numFmtId="0" fontId="0" fillId="22" borderId="1" xfId="0" applyFill="1" applyBorder="1" applyAlignment="1">
      <alignment horizontal="left"/>
    </xf>
    <xf numFmtId="1" fontId="3" fillId="22" borderId="1" xfId="0" applyNumberFormat="1" applyFont="1" applyFill="1" applyBorder="1" applyAlignment="1">
      <alignment horizontal="left"/>
    </xf>
    <xf numFmtId="2" fontId="4" fillId="22" borderId="1" xfId="0" applyNumberFormat="1" applyFont="1" applyFill="1" applyBorder="1" applyAlignment="1">
      <alignment horizontal="left"/>
    </xf>
    <xf numFmtId="0" fontId="0" fillId="0" borderId="6" xfId="0" applyBorder="1"/>
    <xf numFmtId="0" fontId="0" fillId="0" borderId="12" xfId="0" applyBorder="1"/>
    <xf numFmtId="0" fontId="0" fillId="0" borderId="25" xfId="0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6" xfId="0" applyFont="1" applyFill="1" applyBorder="1" applyAlignment="1">
      <alignment horizontal="center" vertical="center"/>
    </xf>
    <xf numFmtId="9" fontId="18" fillId="7" borderId="15" xfId="0" applyNumberFormat="1" applyFont="1" applyFill="1" applyBorder="1" applyAlignment="1">
      <alignment horizontal="center" vertical="center"/>
    </xf>
    <xf numFmtId="9" fontId="18" fillId="7" borderId="16" xfId="0" applyNumberFormat="1" applyFont="1" applyFill="1" applyBorder="1" applyAlignment="1">
      <alignment horizontal="center" vertical="center"/>
    </xf>
    <xf numFmtId="0" fontId="18" fillId="0" borderId="18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9" fontId="18" fillId="7" borderId="18" xfId="0" applyNumberFormat="1" applyFont="1" applyFill="1" applyBorder="1" applyAlignment="1">
      <alignment horizontal="center" vertical="center" wrapText="1"/>
    </xf>
    <xf numFmtId="9" fontId="18" fillId="7" borderId="19" xfId="0" applyNumberFormat="1" applyFont="1" applyFill="1" applyBorder="1" applyAlignment="1">
      <alignment horizontal="center" vertical="center" wrapText="1"/>
    </xf>
    <xf numFmtId="0" fontId="16" fillId="12" borderId="20" xfId="0" applyFont="1" applyFill="1" applyBorder="1" applyAlignment="1">
      <alignment vertical="center"/>
    </xf>
    <xf numFmtId="0" fontId="16" fillId="12" borderId="21" xfId="0" applyFont="1" applyFill="1" applyBorder="1" applyAlignment="1">
      <alignment vertical="center"/>
    </xf>
    <xf numFmtId="0" fontId="17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6" fillId="0" borderId="3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7" fillId="9" borderId="12" xfId="0" applyFont="1" applyFill="1" applyBorder="1" applyAlignment="1">
      <alignment horizontal="center" vertical="center"/>
    </xf>
    <xf numFmtId="0" fontId="17" fillId="9" borderId="14" xfId="0" applyFont="1" applyFill="1" applyBorder="1" applyAlignment="1">
      <alignment horizontal="center" vertical="center"/>
    </xf>
    <xf numFmtId="0" fontId="17" fillId="7" borderId="4" xfId="0" applyFont="1" applyFill="1" applyBorder="1" applyAlignment="1">
      <alignment horizontal="center" vertical="center"/>
    </xf>
    <xf numFmtId="0" fontId="17" fillId="7" borderId="9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0" fontId="19" fillId="7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7" fillId="3" borderId="43" xfId="0" applyFont="1" applyFill="1" applyBorder="1" applyAlignment="1">
      <alignment horizontal="center" vertical="center"/>
    </xf>
    <xf numFmtId="0" fontId="27" fillId="3" borderId="23" xfId="0" applyFont="1" applyFill="1" applyBorder="1" applyAlignment="1">
      <alignment horizontal="center" vertical="center"/>
    </xf>
    <xf numFmtId="0" fontId="27" fillId="3" borderId="44" xfId="0" applyFont="1" applyFill="1" applyBorder="1" applyAlignment="1">
      <alignment horizontal="center" vertical="center"/>
    </xf>
    <xf numFmtId="0" fontId="27" fillId="3" borderId="11" xfId="0" applyFont="1" applyFill="1" applyBorder="1" applyAlignment="1">
      <alignment horizontal="center" vertical="center"/>
    </xf>
    <xf numFmtId="0" fontId="27" fillId="3" borderId="10" xfId="0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43" xfId="0" applyFont="1" applyFill="1" applyBorder="1" applyAlignment="1">
      <alignment horizontal="center"/>
    </xf>
    <xf numFmtId="0" fontId="27" fillId="3" borderId="23" xfId="0" applyFont="1" applyFill="1" applyBorder="1" applyAlignment="1">
      <alignment horizontal="center"/>
    </xf>
    <xf numFmtId="0" fontId="27" fillId="3" borderId="44" xfId="0" applyFont="1" applyFill="1" applyBorder="1" applyAlignment="1">
      <alignment horizontal="center"/>
    </xf>
    <xf numFmtId="0" fontId="27" fillId="3" borderId="11" xfId="0" applyFont="1" applyFill="1" applyBorder="1" applyAlignment="1">
      <alignment horizontal="center"/>
    </xf>
    <xf numFmtId="0" fontId="27" fillId="3" borderId="10" xfId="0" applyFont="1" applyFill="1" applyBorder="1" applyAlignment="1">
      <alignment horizontal="center"/>
    </xf>
    <xf numFmtId="0" fontId="27" fillId="3" borderId="7" xfId="0" applyFont="1" applyFill="1" applyBorder="1" applyAlignment="1">
      <alignment horizontal="center"/>
    </xf>
    <xf numFmtId="0" fontId="24" fillId="21" borderId="33" xfId="0" applyFont="1" applyFill="1" applyBorder="1" applyAlignment="1">
      <alignment horizontal="center" vertical="center"/>
    </xf>
    <xf numFmtId="0" fontId="24" fillId="21" borderId="34" xfId="0" applyFont="1" applyFill="1" applyBorder="1" applyAlignment="1">
      <alignment horizontal="center" vertical="center"/>
    </xf>
    <xf numFmtId="0" fontId="24" fillId="21" borderId="35" xfId="0" applyFont="1" applyFill="1" applyBorder="1" applyAlignment="1">
      <alignment horizontal="center" vertical="center"/>
    </xf>
  </cellXfs>
  <cellStyles count="59">
    <cellStyle name="Auditplan" xfId="37" xr:uid="{6EED7B02-15D9-499A-864B-AACB37D412C5}"/>
    <cellStyle name="AuditplanDate" xfId="38" xr:uid="{BCBF1238-6B7E-4270-9A00-1AB1D0A8143E}"/>
    <cellStyle name="CD_Display" xfId="39" xr:uid="{344FAD6A-0AF0-4D41-B9E2-7082BD0B3984}"/>
    <cellStyle name="Comma 2 3" xfId="18" xr:uid="{A7E59F8B-B85C-4A07-91ED-AA3565C01986}"/>
    <cellStyle name="Comma 2 3 5" xfId="11" xr:uid="{C9C03837-55CF-40A5-B460-8DDE77246DD2}"/>
    <cellStyle name="Currency 10" xfId="7" xr:uid="{0C409DB3-9314-4538-986B-E6B61B071482}"/>
    <cellStyle name="Currency 2" xfId="27" xr:uid="{F1A8B9CE-6432-4779-88FC-4333774E6EA5}"/>
    <cellStyle name="Currency 2 2 11" xfId="23" xr:uid="{02DC930B-478E-4FE3-9870-0125E48BECA5}"/>
    <cellStyle name="Currency 23 2" xfId="9" xr:uid="{280AEC7A-3A70-41CD-A351-A3F103621B67}"/>
    <cellStyle name="Currency 3" xfId="4" xr:uid="{BBEE9E43-10E0-4870-9A18-009C18BC26F0}"/>
    <cellStyle name="Eingabe" xfId="40" xr:uid="{F5DFB5D5-7F54-4BD5-B910-7596E4E84BBA}"/>
    <cellStyle name="Hyperlink 2" xfId="15" xr:uid="{87A4E3AF-CDC1-450D-A260-9AD62CCD445E}"/>
    <cellStyle name="Hyperlink 7" xfId="21" xr:uid="{3212B264-0394-4422-8DB8-23D00AE99BB2}"/>
    <cellStyle name="NC_Evaluation" xfId="41" xr:uid="{E47C2DA6-4D1F-4C5E-A4A7-8EF8FE275C28}"/>
    <cellStyle name="Normal" xfId="0" builtinId="0"/>
    <cellStyle name="Normal 12 2" xfId="6" xr:uid="{5B8F3ECD-C5CE-459B-A9E1-E3A5254A2DD9}"/>
    <cellStyle name="Normal 16 9" xfId="12" xr:uid="{A92EA07E-8C7C-4FF0-8735-E100B6872BD3}"/>
    <cellStyle name="Normal 2" xfId="25" xr:uid="{764E1D9D-19E5-457D-9E0F-339578A0C8C3}"/>
    <cellStyle name="Normal 2 2" xfId="19" xr:uid="{83DC5DF0-F726-4623-9F2B-A6578A9442D7}"/>
    <cellStyle name="Normal 2 2 2" xfId="22" xr:uid="{3118AC97-E308-4085-931E-FF0B950958EF}"/>
    <cellStyle name="Normal 2 3" xfId="36" xr:uid="{1A081407-59A7-4867-8CE1-891B15A88B0F}"/>
    <cellStyle name="Normal 3" xfId="26" xr:uid="{4835D5D3-D3E2-42C0-8CA9-AD5EFB6AF1EA}"/>
    <cellStyle name="Normal 3 16" xfId="24" xr:uid="{8FF7CE85-DA4D-4903-923D-26B5EBEDF080}"/>
    <cellStyle name="Normal 3 2" xfId="35" xr:uid="{9AC51988-9ED8-446A-86B5-23C4D696F8AE}"/>
    <cellStyle name="Normal 4" xfId="3" xr:uid="{F87B87B2-0192-4503-B89D-ADF20E088B42}"/>
    <cellStyle name="Normal 4 2" xfId="42" xr:uid="{7A58FC7C-4FB7-4C92-BDBA-A4390434CFAB}"/>
    <cellStyle name="Normal 5" xfId="43" xr:uid="{E483F54B-2865-4903-A2DC-9BE89611B93D}"/>
    <cellStyle name="Normal 51" xfId="20" xr:uid="{15BFA3C1-1797-4CC0-B956-66AABF33E402}"/>
    <cellStyle name="Normal 6" xfId="1" xr:uid="{35F0ECAF-381C-4104-B520-C579136BF979}"/>
    <cellStyle name="Normal 7" xfId="2" xr:uid="{21EFCB91-F4EB-4798-89C1-7D36CD024D25}"/>
    <cellStyle name="Percent 2" xfId="5" xr:uid="{EB577B5E-0668-4972-934A-2D220DF44BCF}"/>
    <cellStyle name="Percent 4" xfId="10" xr:uid="{350DBD12-A50E-45B2-8A01-D8404714B201}"/>
    <cellStyle name="PrintOut" xfId="44" xr:uid="{A9742DB4-19A2-42D4-9AF0-6D6BF5FE350A}"/>
    <cellStyle name="PrintOutBottom" xfId="45" xr:uid="{1F8E3E1E-25F0-4ABF-A67D-C39812D7C36E}"/>
    <cellStyle name="PrintOutDate" xfId="46" xr:uid="{E0449F26-8499-463B-8267-6A8ED9700709}"/>
    <cellStyle name="PrintOutMiddle" xfId="47" xr:uid="{54001C3C-7FE4-4943-BECB-F5D32637979F}"/>
    <cellStyle name="PrintOutRecordBottom" xfId="48" xr:uid="{15F94492-0B19-40F9-BBBD-851947536826}"/>
    <cellStyle name="PrintOutRecordMiddle" xfId="49" xr:uid="{678E2A59-7114-49A1-A238-81294F002D24}"/>
    <cellStyle name="PrintOutRecordTop" xfId="50" xr:uid="{79E0E08F-9236-484D-8F80-8E9EF621DF55}"/>
    <cellStyle name="PrintOutTop" xfId="51" xr:uid="{5CE3173A-E35F-4692-B6B3-B56E03167178}"/>
    <cellStyle name="Prozent 2" xfId="14" xr:uid="{FB363564-27DA-4D48-AA5F-0605D3CD7C99}"/>
    <cellStyle name="Rand" xfId="52" xr:uid="{A37D2E8F-1426-4426-B27E-76443CC5CCF2}"/>
    <cellStyle name="RP_Auditstep" xfId="53" xr:uid="{C02928EA-E8F2-479C-81DA-4A436F71B6F3}"/>
    <cellStyle name="Standard 2" xfId="28" xr:uid="{D3A58F7A-CE4F-4B04-91DD-F0054FE01CB2}"/>
    <cellStyle name="Standard 2 10" xfId="33" xr:uid="{07F36125-5F28-41DD-B18F-4026D881438F}"/>
    <cellStyle name="Standard 2 2 3" xfId="8" xr:uid="{75A447CB-1576-40EB-ABEC-7CF61A83ABC7}"/>
    <cellStyle name="Standard 3" xfId="30" xr:uid="{54417B17-EAFA-4A21-9A55-3D074C75C5B9}"/>
    <cellStyle name="Standard 3 2" xfId="13" xr:uid="{8E78E076-ADDD-4619-B600-6277B792701C}"/>
    <cellStyle name="Standard 3 2 2" xfId="16" xr:uid="{8100EEAD-9F93-4F2F-ACF2-C6FF375DC8FA}"/>
    <cellStyle name="Standard 4" xfId="32" xr:uid="{8E3C028A-5370-4670-8F7C-B3903928CF59}"/>
    <cellStyle name="Standard 4 2" xfId="34" xr:uid="{A850FF7D-2B79-45DA-9CFE-BD1DC0715134}"/>
    <cellStyle name="TableHead" xfId="54" xr:uid="{B931923B-4A1F-44B0-9594-A69D69FACD19}"/>
    <cellStyle name="TextDisplay" xfId="55" xr:uid="{677BF382-54FB-4278-8079-C6DBA8FF7534}"/>
    <cellStyle name="TextDisplayBold" xfId="56" xr:uid="{ACA1FFB0-2324-49D5-AA77-17D193DBDA13}"/>
    <cellStyle name="Total" xfId="58" builtinId="25"/>
    <cellStyle name="TT_AuditDay" xfId="57" xr:uid="{D75A752A-9B52-4314-907F-4BC3F9E9B13E}"/>
    <cellStyle name="Währung 2" xfId="29" xr:uid="{E01A462F-F2D2-4032-B7DC-FC799AE392C6}"/>
    <cellStyle name="Währung 2 3" xfId="17" xr:uid="{5F059675-2012-49FC-99C0-FB370CEC5F49}"/>
    <cellStyle name="Währung 3" xfId="31" xr:uid="{36E2C902-F4C3-4763-9546-10BCE6D18B4D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ikorgr\AppData\Local\Microsoft\Windows\INetCache\Content.Outlook\YV2Y5SUB\L2%20and%20L3option%20C41%20Midlife%20Needed%20Qty%20per%20year%20Mobica.xlsx" TargetMode="External"/><Relationship Id="rId1" Type="http://schemas.openxmlformats.org/officeDocument/2006/relationships/externalLinkPath" Target="file:///C:\Users\asikorgr\AppData\Local\Microsoft\Windows\INetCache\Content.Outlook\YV2Y5SUB\L2%20and%20L3option%20C41%20Midlife%20Needed%20Qty%20per%20year%20Mobic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 refreshError="1"/>
      <sheetData sheetId="1" refreshError="1">
        <row r="3">
          <cell r="A3" t="str">
            <v>Row Labels</v>
          </cell>
          <cell r="B3" t="str">
            <v>Items Description</v>
          </cell>
        </row>
        <row r="4">
          <cell r="A4" t="str">
            <v>109348-1M_OQ</v>
          </cell>
          <cell r="B4" t="str">
            <v>THD 30/3 107TEX</v>
          </cell>
        </row>
        <row r="5">
          <cell r="A5" t="str">
            <v>109348-55_OQ</v>
          </cell>
          <cell r="B5" t="str">
            <v>THD 30/3 107TEX</v>
          </cell>
        </row>
        <row r="6">
          <cell r="A6" t="str">
            <v>109348-5G_OQ</v>
          </cell>
          <cell r="B6" t="str">
            <v>THD 30/3 107TEX LAMA</v>
          </cell>
        </row>
        <row r="7">
          <cell r="A7" t="str">
            <v>109348-O4_OQ</v>
          </cell>
          <cell r="B7" t="str">
            <v>THD 30/3 107TEX _</v>
          </cell>
        </row>
        <row r="8">
          <cell r="A8" t="str">
            <v>1259544-200020_OQ</v>
          </cell>
          <cell r="B8" t="str">
            <v>CPT TT4</v>
          </cell>
        </row>
        <row r="9">
          <cell r="A9" t="str">
            <v>1357645-1620N_OQ</v>
          </cell>
          <cell r="B9" t="str">
            <v>WKF-PES-G100</v>
          </cell>
        </row>
        <row r="10">
          <cell r="A10" t="str">
            <v>1504680-N_OQ4</v>
          </cell>
          <cell r="B10" t="str">
            <v>HOOK TAPE 20 RP</v>
          </cell>
        </row>
        <row r="11">
          <cell r="A11" t="str">
            <v>1504681-N_OQ4</v>
          </cell>
          <cell r="B11" t="str">
            <v>LOOP TAPE 20MM TOOL</v>
          </cell>
        </row>
        <row r="12">
          <cell r="A12" t="str">
            <v>1699368-N_OQ</v>
          </cell>
          <cell r="B12" t="str">
            <v>LOOP TAPE 40 RP NEUT</v>
          </cell>
        </row>
        <row r="13">
          <cell r="A13" t="str">
            <v>1810953-N_OQ</v>
          </cell>
          <cell r="B13" t="str">
            <v>ID LBL 30 RP _</v>
          </cell>
        </row>
        <row r="14">
          <cell r="A14" t="str">
            <v>1821911-N_OQ</v>
          </cell>
          <cell r="B14" t="str">
            <v>J-RTNR D4535x200</v>
          </cell>
        </row>
        <row r="15">
          <cell r="A15" t="str">
            <v>2108342-N_OQ</v>
          </cell>
          <cell r="B15" t="str">
            <v>F-RTNR 290 F-RETAINE</v>
          </cell>
        </row>
        <row r="16">
          <cell r="A16" t="str">
            <v>2159161-N_OQ</v>
          </cell>
          <cell r="B16" t="str">
            <v>EXTR LIST 5.2Bx20FLx</v>
          </cell>
        </row>
        <row r="17">
          <cell r="A17" t="str">
            <v>2159174-N_OQ</v>
          </cell>
          <cell r="B17" t="str">
            <v>EXTR LIST 5.2Bx20FLx</v>
          </cell>
        </row>
        <row r="18">
          <cell r="A18" t="str">
            <v>2161353-N_OQ</v>
          </cell>
          <cell r="B18" t="str">
            <v>EXTR LIST 5.2B*25FL*</v>
          </cell>
        </row>
        <row r="19">
          <cell r="A19" t="str">
            <v>2161359-N_OQ</v>
          </cell>
          <cell r="B19" t="str">
            <v>EXTR LIST 5.2Bx25FLx</v>
          </cell>
        </row>
        <row r="20">
          <cell r="A20" t="str">
            <v>2172435-N_OQ</v>
          </cell>
          <cell r="B20" t="str">
            <v>REINF 1x110x110</v>
          </cell>
        </row>
        <row r="21">
          <cell r="A21" t="str">
            <v>2258512-N_OQ</v>
          </cell>
          <cell r="B21" t="str">
            <v>RIBBON 20 RP RIBBON</v>
          </cell>
        </row>
        <row r="22">
          <cell r="A22" t="str">
            <v>2618935-N_OQ</v>
          </cell>
          <cell r="B22" t="str">
            <v>F-RTNR 350 F-RETAINE</v>
          </cell>
        </row>
        <row r="23">
          <cell r="A23" t="str">
            <v>3001173-M2_OQ</v>
          </cell>
          <cell r="B23" t="str">
            <v>I-SIZE BUTTON</v>
          </cell>
        </row>
        <row r="24">
          <cell r="A24" t="str">
            <v>3001176-55_OQ</v>
          </cell>
          <cell r="B24" t="str">
            <v>I-SIZE BACK WASHER</v>
          </cell>
        </row>
        <row r="25">
          <cell r="A25" t="str">
            <v>3017991-N_OQ</v>
          </cell>
          <cell r="B25" t="str">
            <v>THD 60/3 55TEX</v>
          </cell>
        </row>
        <row r="26">
          <cell r="A26" t="str">
            <v>3058588-N_OQ</v>
          </cell>
          <cell r="B26" t="str">
            <v>TOP TETHER LBL 35x40</v>
          </cell>
        </row>
        <row r="27">
          <cell r="A27" t="str">
            <v>3116561-RA_OQ</v>
          </cell>
          <cell r="B27" t="str">
            <v>THD 25/3 107TEX ANDR</v>
          </cell>
        </row>
        <row r="28">
          <cell r="A28" t="str">
            <v>333305-165020_OQ</v>
          </cell>
          <cell r="B28" t="str">
            <v>FLEECE FLEECE BLACK</v>
          </cell>
        </row>
        <row r="29">
          <cell r="A29" t="str">
            <v>3341085-N_OQ</v>
          </cell>
          <cell r="B29" t="str">
            <v>J-RETAINER 40MM</v>
          </cell>
        </row>
        <row r="30">
          <cell r="A30" t="str">
            <v>345118-N_OQ</v>
          </cell>
          <cell r="B30" t="str">
            <v>PLAS PLATE 1.5x80x10</v>
          </cell>
        </row>
        <row r="31">
          <cell r="A31" t="str">
            <v>4471381-N_OQ</v>
          </cell>
          <cell r="B31" t="str">
            <v>EXTR LIST 5.2Bx25FLx</v>
          </cell>
        </row>
        <row r="32">
          <cell r="A32" t="str">
            <v>4471385-N_OQ</v>
          </cell>
          <cell r="B32" t="str">
            <v>EXTR LIST 5.2Bx25FLx</v>
          </cell>
        </row>
        <row r="33">
          <cell r="A33" t="str">
            <v>4471424-N_OQ</v>
          </cell>
          <cell r="B33" t="str">
            <v>EXTR LIST 20FLx260</v>
          </cell>
        </row>
        <row r="34">
          <cell r="A34" t="str">
            <v>4471427-N_OQ</v>
          </cell>
          <cell r="B34" t="str">
            <v>EXTR LIST 20FLx210 _</v>
          </cell>
        </row>
        <row r="35">
          <cell r="A35" t="str">
            <v>4471471-N_OQ</v>
          </cell>
          <cell r="B35" t="str">
            <v>PLAS PLATE</v>
          </cell>
        </row>
        <row r="36">
          <cell r="A36" t="str">
            <v>4471615-N_OQ</v>
          </cell>
          <cell r="B36" t="str">
            <v>J-RTNR 140</v>
          </cell>
        </row>
        <row r="37">
          <cell r="A37" t="str">
            <v>4878889-175020_OQC</v>
          </cell>
          <cell r="B37" t="str">
            <v>CPT-DILOURS-G500-TT2</v>
          </cell>
        </row>
        <row r="38">
          <cell r="A38" t="str">
            <v>5016160-N_OQ</v>
          </cell>
          <cell r="B38" t="str">
            <v>EXTR LIST 5.2Bx20FLx</v>
          </cell>
        </row>
        <row r="39">
          <cell r="A39" t="str">
            <v>5086956-N_OQ</v>
          </cell>
          <cell r="B39" t="str">
            <v>U-RTNR 25FLx30</v>
          </cell>
        </row>
        <row r="40">
          <cell r="A40" t="str">
            <v>5086962-N_OQ</v>
          </cell>
          <cell r="B40" t="str">
            <v>U-RTNR 25FLx80</v>
          </cell>
        </row>
        <row r="41">
          <cell r="A41" t="str">
            <v>5174723-N_OQ</v>
          </cell>
          <cell r="B41" t="str">
            <v>EXTR LIST 5.2Bx20FLx</v>
          </cell>
        </row>
        <row r="42">
          <cell r="A42" t="str">
            <v>5174726-N_OQ</v>
          </cell>
          <cell r="B42" t="str">
            <v>EXTR LIST 5.2Bx20FLx</v>
          </cell>
        </row>
        <row r="43">
          <cell r="A43" t="str">
            <v>5348500-20_OQ</v>
          </cell>
          <cell r="B43" t="str">
            <v>ZIP ASSY CONVT 32*70</v>
          </cell>
        </row>
        <row r="44">
          <cell r="A44" t="str">
            <v>5631571-N_OQ</v>
          </cell>
          <cell r="B44" t="str">
            <v>J-RTNR 350 J-RETAINE</v>
          </cell>
        </row>
        <row r="45">
          <cell r="A45" t="str">
            <v>5631576-N_OQ</v>
          </cell>
          <cell r="B45" t="str">
            <v>J-RTNR 580 J-RETAINE</v>
          </cell>
        </row>
        <row r="46">
          <cell r="A46" t="str">
            <v>6036614-20_OQ</v>
          </cell>
          <cell r="B46" t="str">
            <v>ZIP ASSY CONCEAL 17x</v>
          </cell>
        </row>
        <row r="47">
          <cell r="A47" t="str">
            <v>Grand Total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43538-E763-421A-9171-288C6A8F64E0}">
  <sheetPr>
    <tabColor rgb="FFFFFF00"/>
  </sheetPr>
  <dimension ref="A1:AA156"/>
  <sheetViews>
    <sheetView zoomScale="90" zoomScaleNormal="90" workbookViewId="0">
      <pane xSplit="1" ySplit="2" topLeftCell="D142" activePane="bottomRight" state="frozen"/>
      <selection activeCell="Q2" sqref="Q2"/>
      <selection pane="topRight" activeCell="Q2" sqref="Q2"/>
      <selection pane="bottomLeft" activeCell="Q2" sqref="Q2"/>
      <selection pane="bottomRight" activeCell="E151" sqref="E151"/>
    </sheetView>
  </sheetViews>
  <sheetFormatPr defaultRowHeight="14.4"/>
  <cols>
    <col min="1" max="1" width="11.5546875" bestFit="1" customWidth="1"/>
    <col min="2" max="2" width="12.44140625" bestFit="1" customWidth="1"/>
    <col min="3" max="3" width="14.88671875" bestFit="1" customWidth="1"/>
    <col min="4" max="4" width="22.44140625" customWidth="1"/>
    <col min="5" max="5" width="109.21875" bestFit="1" customWidth="1"/>
    <col min="6" max="6" width="9.33203125" bestFit="1" customWidth="1"/>
    <col min="7" max="7" width="8.109375" bestFit="1" customWidth="1"/>
    <col min="8" max="8" width="11.44140625" hidden="1" customWidth="1"/>
    <col min="9" max="9" width="15.21875" hidden="1" customWidth="1"/>
    <col min="10" max="10" width="13.77734375" hidden="1" customWidth="1"/>
    <col min="11" max="11" width="9.6640625" bestFit="1" customWidth="1"/>
    <col min="12" max="12" width="11.44140625" hidden="1" customWidth="1"/>
    <col min="13" max="13" width="15.21875" hidden="1" customWidth="1"/>
    <col min="14" max="14" width="13.77734375" hidden="1" customWidth="1"/>
    <col min="15" max="15" width="8.88671875" bestFit="1" customWidth="1"/>
    <col min="16" max="16" width="10.44140625" bestFit="1" customWidth="1"/>
    <col min="17" max="17" width="10.5546875" bestFit="1" customWidth="1"/>
    <col min="18" max="18" width="19.33203125" hidden="1" customWidth="1"/>
    <col min="19" max="19" width="26.33203125" hidden="1" customWidth="1"/>
    <col min="20" max="20" width="15.6640625" hidden="1" customWidth="1"/>
    <col min="21" max="21" width="19.6640625" hidden="1" customWidth="1"/>
    <col min="22" max="22" width="18.44140625" hidden="1" customWidth="1"/>
    <col min="23" max="23" width="22.109375" hidden="1" customWidth="1"/>
    <col min="24" max="24" width="15.21875" hidden="1" customWidth="1"/>
    <col min="25" max="25" width="19.5546875" hidden="1" customWidth="1"/>
    <col min="26" max="26" width="23.5546875" hidden="1" customWidth="1"/>
    <col min="27" max="27" width="20.5546875" bestFit="1" customWidth="1"/>
    <col min="28" max="28" width="3" bestFit="1" customWidth="1"/>
    <col min="31" max="31" width="6" bestFit="1" customWidth="1"/>
  </cols>
  <sheetData>
    <row r="1" spans="1:27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 t="s">
        <v>293</v>
      </c>
      <c r="Q1" s="13" t="s">
        <v>294</v>
      </c>
      <c r="R1" s="13"/>
      <c r="S1" s="13"/>
      <c r="T1" s="13"/>
      <c r="U1" s="13"/>
      <c r="V1" s="13"/>
      <c r="W1" s="13"/>
    </row>
    <row r="2" spans="1:27">
      <c r="A2" s="1" t="s">
        <v>0</v>
      </c>
      <c r="B2" s="1" t="s">
        <v>1</v>
      </c>
      <c r="C2" s="1" t="s">
        <v>310</v>
      </c>
      <c r="D2" s="1" t="s">
        <v>2</v>
      </c>
      <c r="E2" s="1" t="s">
        <v>3</v>
      </c>
      <c r="F2" s="1" t="s">
        <v>336</v>
      </c>
      <c r="G2" s="1" t="s">
        <v>290</v>
      </c>
      <c r="H2" s="1" t="s">
        <v>374</v>
      </c>
      <c r="I2" s="1" t="s">
        <v>375</v>
      </c>
      <c r="J2" s="1" t="s">
        <v>376</v>
      </c>
      <c r="K2" s="14" t="s">
        <v>291</v>
      </c>
      <c r="L2" s="1" t="s">
        <v>374</v>
      </c>
      <c r="M2" s="1" t="s">
        <v>375</v>
      </c>
      <c r="N2" s="1" t="s">
        <v>376</v>
      </c>
      <c r="O2" s="14" t="s">
        <v>292</v>
      </c>
      <c r="P2" s="24">
        <f>(31*48)</f>
        <v>1488</v>
      </c>
      <c r="Q2" s="25">
        <f>(47*48)</f>
        <v>2256</v>
      </c>
      <c r="R2" s="26" t="s">
        <v>308</v>
      </c>
      <c r="S2" s="26" t="s">
        <v>309</v>
      </c>
      <c r="T2" s="14" t="s">
        <v>298</v>
      </c>
      <c r="U2" s="14" t="s">
        <v>299</v>
      </c>
      <c r="V2" s="14" t="s">
        <v>302</v>
      </c>
      <c r="W2" s="14" t="s">
        <v>303</v>
      </c>
      <c r="X2" s="15" t="s">
        <v>304</v>
      </c>
      <c r="Y2" s="15" t="s">
        <v>305</v>
      </c>
      <c r="Z2" s="27" t="s">
        <v>351</v>
      </c>
      <c r="AA2" s="27" t="s">
        <v>350</v>
      </c>
    </row>
    <row r="3" spans="1:27">
      <c r="A3" s="34">
        <v>1</v>
      </c>
      <c r="B3" s="35">
        <v>9823868480</v>
      </c>
      <c r="C3" s="35" t="s">
        <v>311</v>
      </c>
      <c r="D3" s="34" t="s">
        <v>4</v>
      </c>
      <c r="E3" s="34" t="s">
        <v>5</v>
      </c>
      <c r="F3" s="34" t="s">
        <v>337</v>
      </c>
      <c r="G3" s="34">
        <v>1</v>
      </c>
      <c r="H3" s="34">
        <v>0</v>
      </c>
      <c r="I3" s="34">
        <v>1</v>
      </c>
      <c r="J3" s="34">
        <v>0</v>
      </c>
      <c r="K3" s="36">
        <v>1</v>
      </c>
      <c r="L3" s="36">
        <v>0</v>
      </c>
      <c r="M3" s="36">
        <v>1</v>
      </c>
      <c r="N3" s="36">
        <v>0</v>
      </c>
      <c r="O3" s="13">
        <v>20</v>
      </c>
      <c r="P3" s="12">
        <f>G3*$P$2</f>
        <v>1488</v>
      </c>
      <c r="Q3" s="12">
        <f>K3*$Q$2</f>
        <v>2256</v>
      </c>
      <c r="R3" s="12">
        <f>(P3+Q3)-Stock!E3</f>
        <v>898</v>
      </c>
      <c r="S3" s="13">
        <f>ROUNDUP(R3/O3,0)</f>
        <v>45</v>
      </c>
      <c r="T3" s="13">
        <f>ROUNDUP($P$2/O3*G3,0)</f>
        <v>75</v>
      </c>
      <c r="U3" s="13">
        <f>ROUNDUP($Q$2/O3*K3,0)</f>
        <v>113</v>
      </c>
      <c r="V3" s="13">
        <f>T3*O3</f>
        <v>1500</v>
      </c>
      <c r="W3" s="13">
        <f>O3*U3</f>
        <v>2260</v>
      </c>
      <c r="X3" s="13" cm="1">
        <f t="array" ref="X3">_xlfn.IFS(P3+Q3&gt;Stock!E3,V3,P3+Q3&lt;Stock!E3,"No need",Stock!E3=0,V3,P3+Q3=Stock!E3,"No need")</f>
        <v>1500</v>
      </c>
      <c r="Y3" s="13" cm="1">
        <f t="array" ref="Y3">_xlfn.IFS(P3+Q3&gt;Stock!E3,W3,P3+Q3&lt;Stock!E3,"No need",Stock!E3=0,W3,P3+Q3=Stock!E3,"No need")</f>
        <v>2260</v>
      </c>
      <c r="Z3" s="13" cm="1">
        <f t="array" ref="Z3">_xlfn.IFS(ISNUMBER(X3+Y3),X3+Y3,ISTEXT(X3&amp;Y3),"No need")</f>
        <v>3760</v>
      </c>
      <c r="AA3" s="13" cm="1">
        <f t="array" ref="AA3">_xlfn.IFS(S3*O3&gt;0,S3*O3,S3*O3&lt;0,"No need",S3*O3=0,0)</f>
        <v>900</v>
      </c>
    </row>
    <row r="4" spans="1:27">
      <c r="A4" s="34">
        <v>2</v>
      </c>
      <c r="B4" s="35">
        <v>9823868180</v>
      </c>
      <c r="C4" s="35" t="s">
        <v>311</v>
      </c>
      <c r="D4" s="34" t="s">
        <v>6</v>
      </c>
      <c r="E4" s="34" t="s">
        <v>7</v>
      </c>
      <c r="F4" s="34" t="s">
        <v>337</v>
      </c>
      <c r="G4" s="34">
        <v>0</v>
      </c>
      <c r="H4" s="34">
        <v>0</v>
      </c>
      <c r="I4" s="34">
        <v>0</v>
      </c>
      <c r="J4" s="34">
        <v>0</v>
      </c>
      <c r="K4" s="36">
        <v>1</v>
      </c>
      <c r="L4" s="36">
        <v>1</v>
      </c>
      <c r="M4" s="36">
        <v>0</v>
      </c>
      <c r="N4" s="36">
        <v>0</v>
      </c>
      <c r="O4" s="13">
        <v>20</v>
      </c>
      <c r="P4" s="12">
        <f t="shared" ref="P4:P67" si="0">G4*$P$2</f>
        <v>0</v>
      </c>
      <c r="Q4" s="12">
        <f t="shared" ref="Q4:Q67" si="1">K4*$Q$2</f>
        <v>2256</v>
      </c>
      <c r="R4" s="12">
        <f>(P4+Q4)-Stock!E4</f>
        <v>567</v>
      </c>
      <c r="S4" s="13">
        <f t="shared" ref="S4:S67" si="2">ROUNDUP(R4/O4,0)</f>
        <v>29</v>
      </c>
      <c r="T4" s="13">
        <f t="shared" ref="T4:T67" si="3">ROUNDUP($P$2/O4*G4,0)</f>
        <v>0</v>
      </c>
      <c r="U4" s="13">
        <f t="shared" ref="U4:U67" si="4">ROUNDUP($Q$2/O4*K4,0)</f>
        <v>113</v>
      </c>
      <c r="V4" s="13">
        <f t="shared" ref="V4:V67" si="5">T4*O4</f>
        <v>0</v>
      </c>
      <c r="W4" s="13">
        <f t="shared" ref="W4:W67" si="6">O4*U4</f>
        <v>2260</v>
      </c>
      <c r="X4" s="13" cm="1">
        <f t="array" ref="X4">_xlfn.IFS(P4+Q4&gt;Stock!E4,V4,P4+Q4&lt;Stock!E4,"No need",Stock!E4=0,V4,P4+Q4=Stock!E4,"No need")</f>
        <v>0</v>
      </c>
      <c r="Y4" s="13" cm="1">
        <f t="array" ref="Y4">_xlfn.IFS(P4+Q4&gt;Stock!E4,W4,P4+Q4&lt;Stock!E4,"No need",Stock!E4=0,W4,P4+Q4=Stock!E4,"No need")</f>
        <v>2260</v>
      </c>
      <c r="Z4" s="13" cm="1">
        <f t="array" ref="Z4">_xlfn.IFS(ISNUMBER(X4+Y4),X4+Y4,ISTEXT(X4&amp;Y4),"No need")</f>
        <v>2260</v>
      </c>
      <c r="AA4" s="13" cm="1">
        <f t="array" ref="AA4">_xlfn.IFS(S4*O4&gt;0,S4*O4,S4*O4&lt;0,"No need",S4*O4=0,0)</f>
        <v>580</v>
      </c>
    </row>
    <row r="5" spans="1:27">
      <c r="A5" s="34">
        <v>3</v>
      </c>
      <c r="B5" s="35" t="s">
        <v>8</v>
      </c>
      <c r="C5" s="35" t="s">
        <v>311</v>
      </c>
      <c r="D5" s="34" t="s">
        <v>9</v>
      </c>
      <c r="E5" s="34" t="s">
        <v>10</v>
      </c>
      <c r="F5" s="34" t="s">
        <v>337</v>
      </c>
      <c r="G5" s="34">
        <v>1</v>
      </c>
      <c r="H5" s="34">
        <v>1</v>
      </c>
      <c r="I5" s="34">
        <v>0</v>
      </c>
      <c r="J5" s="34">
        <v>0</v>
      </c>
      <c r="K5" s="36">
        <v>0</v>
      </c>
      <c r="L5" s="36">
        <v>0</v>
      </c>
      <c r="M5" s="36">
        <v>0</v>
      </c>
      <c r="N5" s="36">
        <v>0</v>
      </c>
      <c r="O5" s="13">
        <v>20</v>
      </c>
      <c r="P5" s="12">
        <f t="shared" si="0"/>
        <v>1488</v>
      </c>
      <c r="Q5" s="12">
        <f t="shared" si="1"/>
        <v>0</v>
      </c>
      <c r="R5" s="12">
        <f>(P5+Q5)-Stock!E5</f>
        <v>323</v>
      </c>
      <c r="S5" s="13">
        <f t="shared" si="2"/>
        <v>17</v>
      </c>
      <c r="T5" s="13">
        <f t="shared" si="3"/>
        <v>75</v>
      </c>
      <c r="U5" s="13">
        <f t="shared" si="4"/>
        <v>0</v>
      </c>
      <c r="V5" s="13">
        <f t="shared" si="5"/>
        <v>1500</v>
      </c>
      <c r="W5" s="13">
        <f t="shared" si="6"/>
        <v>0</v>
      </c>
      <c r="X5" s="13" cm="1">
        <f t="array" ref="X5">_xlfn.IFS(P5+Q5&gt;Stock!E5,V5,P5+Q5&lt;Stock!E5,"No need",Stock!E5=0,V5,P5+Q5=Stock!E5,"No need")</f>
        <v>1500</v>
      </c>
      <c r="Y5" s="13" cm="1">
        <f t="array" ref="Y5">_xlfn.IFS(P5+Q5&gt;Stock!E5,W5,P5+Q5&lt;Stock!E5,"No need",Stock!E5=0,W5,P5+Q5=Stock!E5,"No need")</f>
        <v>0</v>
      </c>
      <c r="Z5" s="13" cm="1">
        <f t="array" ref="Z5">_xlfn.IFS(ISNUMBER(X5+Y5),X5+Y5,ISTEXT(X5&amp;Y5),"No need")</f>
        <v>1500</v>
      </c>
      <c r="AA5" s="13" cm="1">
        <f t="array" ref="AA5">_xlfn.IFS(S5*O5&gt;0,S5*O5,S5*O5&lt;0,"No need",S5*O5=0,0)</f>
        <v>340</v>
      </c>
    </row>
    <row r="6" spans="1:27">
      <c r="A6" s="34">
        <v>4</v>
      </c>
      <c r="B6" s="35">
        <v>9832027580</v>
      </c>
      <c r="C6" s="35" t="s">
        <v>311</v>
      </c>
      <c r="D6" s="34" t="s">
        <v>11</v>
      </c>
      <c r="E6" s="34" t="s">
        <v>12</v>
      </c>
      <c r="F6" s="34" t="s">
        <v>337</v>
      </c>
      <c r="G6" s="34">
        <v>1</v>
      </c>
      <c r="H6" s="34">
        <v>0</v>
      </c>
      <c r="I6" s="34">
        <v>1</v>
      </c>
      <c r="J6" s="34">
        <v>0</v>
      </c>
      <c r="K6" s="36">
        <v>1</v>
      </c>
      <c r="L6" s="36">
        <v>0</v>
      </c>
      <c r="M6" s="36">
        <v>1</v>
      </c>
      <c r="N6" s="36">
        <v>0</v>
      </c>
      <c r="O6" s="13">
        <v>12</v>
      </c>
      <c r="P6" s="12">
        <f t="shared" si="0"/>
        <v>1488</v>
      </c>
      <c r="Q6" s="12">
        <f t="shared" si="1"/>
        <v>2256</v>
      </c>
      <c r="R6" s="12">
        <f>(P6+Q6)-Stock!E6</f>
        <v>906</v>
      </c>
      <c r="S6" s="13">
        <f t="shared" si="2"/>
        <v>76</v>
      </c>
      <c r="T6" s="13">
        <f t="shared" si="3"/>
        <v>124</v>
      </c>
      <c r="U6" s="13">
        <f t="shared" si="4"/>
        <v>188</v>
      </c>
      <c r="V6" s="13">
        <f t="shared" si="5"/>
        <v>1488</v>
      </c>
      <c r="W6" s="13">
        <f t="shared" si="6"/>
        <v>2256</v>
      </c>
      <c r="X6" s="13" cm="1">
        <f t="array" ref="X6">_xlfn.IFS(P6+Q6&gt;Stock!E6,V6,P6+Q6&lt;Stock!E6,"No need",Stock!E6=0,V6,P6+Q6=Stock!E6,"No need")</f>
        <v>1488</v>
      </c>
      <c r="Y6" s="13" cm="1">
        <f t="array" ref="Y6">_xlfn.IFS(P6+Q6&gt;Stock!E6,W6,P6+Q6&lt;Stock!E6,"No need",Stock!E6=0,W6,P6+Q6=Stock!E6,"No need")</f>
        <v>2256</v>
      </c>
      <c r="Z6" s="13" cm="1">
        <f t="array" ref="Z6">_xlfn.IFS(ISNUMBER(X6+Y6),X6+Y6,ISTEXT(X6&amp;Y6),"No need")</f>
        <v>3744</v>
      </c>
      <c r="AA6" s="13" cm="1">
        <f t="array" ref="AA6">_xlfn.IFS(S6*O6&gt;0,S6*O6,S6*O6&lt;0,"No need",S6*O6=0,0)</f>
        <v>912</v>
      </c>
    </row>
    <row r="7" spans="1:27">
      <c r="A7" s="34">
        <v>5</v>
      </c>
      <c r="B7" s="35">
        <v>9832021380</v>
      </c>
      <c r="C7" s="35" t="s">
        <v>311</v>
      </c>
      <c r="D7" s="34" t="s">
        <v>13</v>
      </c>
      <c r="E7" s="34" t="s">
        <v>14</v>
      </c>
      <c r="F7" s="34" t="s">
        <v>337</v>
      </c>
      <c r="G7" s="34">
        <v>0</v>
      </c>
      <c r="H7" s="34">
        <v>0</v>
      </c>
      <c r="I7" s="34">
        <v>0</v>
      </c>
      <c r="J7" s="34">
        <v>0</v>
      </c>
      <c r="K7" s="36">
        <v>1</v>
      </c>
      <c r="L7" s="36">
        <v>1</v>
      </c>
      <c r="M7" s="36">
        <v>0</v>
      </c>
      <c r="N7" s="36">
        <v>0</v>
      </c>
      <c r="O7" s="13">
        <v>12</v>
      </c>
      <c r="P7" s="12">
        <f t="shared" si="0"/>
        <v>0</v>
      </c>
      <c r="Q7" s="12">
        <f t="shared" si="1"/>
        <v>2256</v>
      </c>
      <c r="R7" s="12">
        <f>(P7+Q7)-Stock!E7</f>
        <v>564</v>
      </c>
      <c r="S7" s="13">
        <f t="shared" si="2"/>
        <v>47</v>
      </c>
      <c r="T7" s="13">
        <f t="shared" si="3"/>
        <v>0</v>
      </c>
      <c r="U7" s="13">
        <f t="shared" si="4"/>
        <v>188</v>
      </c>
      <c r="V7" s="13">
        <f>T7*O7</f>
        <v>0</v>
      </c>
      <c r="W7" s="13">
        <f t="shared" si="6"/>
        <v>2256</v>
      </c>
      <c r="X7" s="13" cm="1">
        <f t="array" ref="X7">_xlfn.IFS(P7+Q7&gt;Stock!E7,V7,P7+Q7&lt;Stock!E7,"No need",Stock!E7=0,V7,P7+Q7=Stock!E7,"No need")</f>
        <v>0</v>
      </c>
      <c r="Y7" s="13" cm="1">
        <f t="array" ref="Y7">_xlfn.IFS(P7+Q7&gt;Stock!E7,W7,P7+Q7&lt;Stock!E7,"No need",Stock!E7=0,W7,P7+Q7=Stock!E7,"No need")</f>
        <v>2256</v>
      </c>
      <c r="Z7" s="13" cm="1">
        <f t="array" ref="Z7">_xlfn.IFS(ISNUMBER(X7+Y7),X7+Y7,ISTEXT(X7&amp;Y7),"No need")</f>
        <v>2256</v>
      </c>
      <c r="AA7" s="13" cm="1">
        <f t="array" ref="AA7">_xlfn.IFS(S7*O7&gt;0,S7*O7,S7*O7&lt;0,"No need",S7*O7=0,0)</f>
        <v>564</v>
      </c>
    </row>
    <row r="8" spans="1:27">
      <c r="A8" s="34">
        <v>6</v>
      </c>
      <c r="B8" s="35">
        <v>9832021180</v>
      </c>
      <c r="C8" s="35" t="s">
        <v>311</v>
      </c>
      <c r="D8" s="34" t="s">
        <v>15</v>
      </c>
      <c r="E8" s="34" t="s">
        <v>16</v>
      </c>
      <c r="F8" s="34" t="s">
        <v>337</v>
      </c>
      <c r="G8" s="34">
        <v>1</v>
      </c>
      <c r="H8" s="34">
        <v>1</v>
      </c>
      <c r="I8" s="34">
        <v>0</v>
      </c>
      <c r="J8" s="34">
        <v>0</v>
      </c>
      <c r="K8" s="36">
        <v>0</v>
      </c>
      <c r="L8" s="36">
        <v>0</v>
      </c>
      <c r="M8" s="36">
        <v>0</v>
      </c>
      <c r="N8" s="36">
        <v>0</v>
      </c>
      <c r="O8" s="13">
        <v>12</v>
      </c>
      <c r="P8" s="12">
        <f t="shared" si="0"/>
        <v>1488</v>
      </c>
      <c r="Q8" s="12">
        <f t="shared" si="1"/>
        <v>0</v>
      </c>
      <c r="R8" s="12">
        <f>(P8+Q8)-Stock!E8</f>
        <v>327</v>
      </c>
      <c r="S8" s="13">
        <f t="shared" si="2"/>
        <v>28</v>
      </c>
      <c r="T8" s="13">
        <f t="shared" si="3"/>
        <v>124</v>
      </c>
      <c r="U8" s="13">
        <f t="shared" si="4"/>
        <v>0</v>
      </c>
      <c r="V8" s="13">
        <f t="shared" si="5"/>
        <v>1488</v>
      </c>
      <c r="W8" s="13">
        <f t="shared" si="6"/>
        <v>0</v>
      </c>
      <c r="X8" s="13" cm="1">
        <f t="array" ref="X8">_xlfn.IFS(P8+Q8&gt;Stock!E8,V8,P8+Q8&lt;Stock!E8,"No need",Stock!E8=0,V8,P8+Q8=Stock!E8,"No need")</f>
        <v>1488</v>
      </c>
      <c r="Y8" s="13" cm="1">
        <f t="array" ref="Y8">_xlfn.IFS(P8+Q8&gt;Stock!E8,W8,P8+Q8&lt;Stock!E8,"No need",Stock!E8=0,W8,P8+Q8=Stock!E8,"No need")</f>
        <v>0</v>
      </c>
      <c r="Z8" s="13" cm="1">
        <f t="array" ref="Z8">_xlfn.IFS(ISNUMBER(X8+Y8),X8+Y8,ISTEXT(X8&amp;Y8),"No need")</f>
        <v>1488</v>
      </c>
      <c r="AA8" s="13" cm="1">
        <f t="array" ref="AA8">_xlfn.IFS(S8*O8&gt;0,S8*O8,S8*O8&lt;0,"No need",S8*O8=0,0)</f>
        <v>336</v>
      </c>
    </row>
    <row r="9" spans="1:27">
      <c r="A9" s="34">
        <v>7</v>
      </c>
      <c r="B9" s="35">
        <v>9833400580</v>
      </c>
      <c r="C9" s="35" t="s">
        <v>311</v>
      </c>
      <c r="D9" s="34" t="s">
        <v>17</v>
      </c>
      <c r="E9" s="34" t="s">
        <v>18</v>
      </c>
      <c r="F9" s="34" t="s">
        <v>337</v>
      </c>
      <c r="G9" s="34">
        <v>1</v>
      </c>
      <c r="H9" s="34">
        <v>0</v>
      </c>
      <c r="I9" s="34">
        <v>0</v>
      </c>
      <c r="J9" s="34">
        <v>1</v>
      </c>
      <c r="K9" s="36">
        <v>1</v>
      </c>
      <c r="L9" s="36">
        <v>0</v>
      </c>
      <c r="M9" s="36">
        <v>0</v>
      </c>
      <c r="N9" s="36">
        <v>1</v>
      </c>
      <c r="O9" s="13">
        <v>36</v>
      </c>
      <c r="P9" s="12">
        <f t="shared" si="0"/>
        <v>1488</v>
      </c>
      <c r="Q9" s="12">
        <f t="shared" si="1"/>
        <v>2256</v>
      </c>
      <c r="R9" s="12">
        <f>(P9+Q9)-Stock!E9</f>
        <v>895</v>
      </c>
      <c r="S9" s="13">
        <f t="shared" si="2"/>
        <v>25</v>
      </c>
      <c r="T9" s="13">
        <f t="shared" si="3"/>
        <v>42</v>
      </c>
      <c r="U9" s="13">
        <f t="shared" si="4"/>
        <v>63</v>
      </c>
      <c r="V9" s="13">
        <f t="shared" si="5"/>
        <v>1512</v>
      </c>
      <c r="W9" s="13">
        <f t="shared" si="6"/>
        <v>2268</v>
      </c>
      <c r="X9" s="13" cm="1">
        <f t="array" ref="X9">_xlfn.IFS(P9+Q9&gt;Stock!E9,V9,P9+Q9&lt;Stock!E9,"No need",Stock!E9=0,V9,P9+Q9=Stock!E9,"No need")</f>
        <v>1512</v>
      </c>
      <c r="Y9" s="13" cm="1">
        <f t="array" ref="Y9">_xlfn.IFS(P9+Q9&gt;Stock!E9,W9,P9+Q9&lt;Stock!E9,"No need",Stock!E9=0,W9,P9+Q9=Stock!E9,"No need")</f>
        <v>2268</v>
      </c>
      <c r="Z9" s="13" cm="1">
        <f t="array" ref="Z9">_xlfn.IFS(ISNUMBER(X9+Y9),X9+Y9,ISTEXT(X9&amp;Y9),"No need")</f>
        <v>3780</v>
      </c>
      <c r="AA9" s="13" cm="1">
        <f t="array" ref="AA9">_xlfn.IFS(S9*O9&gt;0,S9*O9,S9*O9&lt;0,"No need",S9*O9=0,0)</f>
        <v>900</v>
      </c>
    </row>
    <row r="10" spans="1:27">
      <c r="A10" s="34">
        <v>8</v>
      </c>
      <c r="B10" s="35">
        <v>9833208180</v>
      </c>
      <c r="C10" s="35" t="s">
        <v>311</v>
      </c>
      <c r="D10" s="34" t="s">
        <v>19</v>
      </c>
      <c r="E10" s="34" t="s">
        <v>20</v>
      </c>
      <c r="F10" s="34" t="s">
        <v>337</v>
      </c>
      <c r="G10" s="34">
        <v>0</v>
      </c>
      <c r="H10" s="34">
        <v>0</v>
      </c>
      <c r="I10" s="34">
        <v>0</v>
      </c>
      <c r="J10" s="34">
        <v>0</v>
      </c>
      <c r="K10" s="36">
        <v>1</v>
      </c>
      <c r="L10" s="36">
        <v>0</v>
      </c>
      <c r="M10" s="36">
        <v>0</v>
      </c>
      <c r="N10" s="36">
        <v>1</v>
      </c>
      <c r="O10" s="13">
        <v>18</v>
      </c>
      <c r="P10" s="12">
        <f t="shared" si="0"/>
        <v>0</v>
      </c>
      <c r="Q10" s="12">
        <f t="shared" si="1"/>
        <v>2256</v>
      </c>
      <c r="R10" s="12">
        <f>(P10+Q10)-Stock!E10</f>
        <v>564</v>
      </c>
      <c r="S10" s="13">
        <f t="shared" si="2"/>
        <v>32</v>
      </c>
      <c r="T10" s="13">
        <f t="shared" si="3"/>
        <v>0</v>
      </c>
      <c r="U10" s="13">
        <f t="shared" si="4"/>
        <v>126</v>
      </c>
      <c r="V10" s="13">
        <f t="shared" si="5"/>
        <v>0</v>
      </c>
      <c r="W10" s="13">
        <f t="shared" si="6"/>
        <v>2268</v>
      </c>
      <c r="X10" s="13" cm="1">
        <f t="array" ref="X10">_xlfn.IFS(P10+Q10&gt;Stock!E10,V10,P10+Q10&lt;Stock!E10,"No need",Stock!E10=0,V10,P10+Q10=Stock!E10,"No need")</f>
        <v>0</v>
      </c>
      <c r="Y10" s="13" cm="1">
        <f t="array" ref="Y10">_xlfn.IFS(P10+Q10&gt;Stock!E10,W10,P10+Q10&lt;Stock!E10,"No need",Stock!E10=0,W10,P10+Q10=Stock!E10,"No need")</f>
        <v>2268</v>
      </c>
      <c r="Z10" s="13" cm="1">
        <f t="array" ref="Z10">_xlfn.IFS(ISNUMBER(X10+Y10),X10+Y10,ISTEXT(X10&amp;Y10),"No need")</f>
        <v>2268</v>
      </c>
      <c r="AA10" s="13" cm="1">
        <f t="array" ref="AA10">_xlfn.IFS(S10*O10&gt;0,S10*O10,S10*O10&lt;0,"No need",S10*O10=0,0)</f>
        <v>576</v>
      </c>
    </row>
    <row r="11" spans="1:27">
      <c r="A11" s="34">
        <v>9</v>
      </c>
      <c r="B11" s="35">
        <v>9833208280</v>
      </c>
      <c r="C11" s="35" t="s">
        <v>311</v>
      </c>
      <c r="D11" s="34" t="s">
        <v>21</v>
      </c>
      <c r="E11" s="34" t="s">
        <v>22</v>
      </c>
      <c r="F11" s="34" t="s">
        <v>337</v>
      </c>
      <c r="G11" s="34">
        <v>1</v>
      </c>
      <c r="H11" s="34">
        <v>0</v>
      </c>
      <c r="I11" s="34">
        <v>0</v>
      </c>
      <c r="J11" s="34">
        <v>1</v>
      </c>
      <c r="K11" s="36">
        <v>0</v>
      </c>
      <c r="L11" s="36">
        <v>0</v>
      </c>
      <c r="M11" s="36">
        <v>0</v>
      </c>
      <c r="N11" s="36">
        <v>0</v>
      </c>
      <c r="O11" s="13">
        <v>18</v>
      </c>
      <c r="P11" s="12">
        <f t="shared" si="0"/>
        <v>1488</v>
      </c>
      <c r="Q11" s="12">
        <f t="shared" si="1"/>
        <v>0</v>
      </c>
      <c r="R11" s="12">
        <f>(P11+Q11)-Stock!E11</f>
        <v>331</v>
      </c>
      <c r="S11" s="13">
        <f t="shared" si="2"/>
        <v>19</v>
      </c>
      <c r="T11" s="13">
        <f>ROUNDUP($P$2/O11*G11,0)</f>
        <v>83</v>
      </c>
      <c r="U11" s="13">
        <f t="shared" si="4"/>
        <v>0</v>
      </c>
      <c r="V11" s="13">
        <f t="shared" si="5"/>
        <v>1494</v>
      </c>
      <c r="W11" s="13">
        <f t="shared" si="6"/>
        <v>0</v>
      </c>
      <c r="X11" s="13" cm="1">
        <f t="array" ref="X11">_xlfn.IFS(P11+Q11&gt;Stock!E11,V11,P11+Q11&lt;Stock!E11,"No need",Stock!E11=0,V11,P11+Q11=Stock!E11,"No need")</f>
        <v>1494</v>
      </c>
      <c r="Y11" s="13" cm="1">
        <f t="array" ref="Y11">_xlfn.IFS(P11+Q11&gt;Stock!E11,W11,P11+Q11&lt;Stock!E11,"No need",Stock!E11=0,W11,P11+Q11=Stock!E11,"No need")</f>
        <v>0</v>
      </c>
      <c r="Z11" s="13" cm="1">
        <f t="array" ref="Z11">_xlfn.IFS(ISNUMBER(X11+Y11),X11+Y11,ISTEXT(X11&amp;Y11),"No need")</f>
        <v>1494</v>
      </c>
      <c r="AA11" s="13" cm="1">
        <f t="array" ref="AA11">_xlfn.IFS(S11*O11&gt;0,S11*O11,S11*O11&lt;0,"No need",S11*O11=0,0)</f>
        <v>342</v>
      </c>
    </row>
    <row r="12" spans="1:27">
      <c r="A12" s="34">
        <v>10</v>
      </c>
      <c r="B12" s="35">
        <v>9814491980</v>
      </c>
      <c r="C12" s="35" t="s">
        <v>311</v>
      </c>
      <c r="D12" s="34" t="s">
        <v>23</v>
      </c>
      <c r="E12" s="34" t="s">
        <v>24</v>
      </c>
      <c r="F12" s="34" t="s">
        <v>337</v>
      </c>
      <c r="G12" s="34">
        <v>1</v>
      </c>
      <c r="H12" s="34">
        <v>0</v>
      </c>
      <c r="I12" s="34">
        <v>0</v>
      </c>
      <c r="J12" s="34">
        <v>1</v>
      </c>
      <c r="K12" s="36">
        <v>1</v>
      </c>
      <c r="L12" s="36">
        <v>0</v>
      </c>
      <c r="M12" s="36">
        <v>0</v>
      </c>
      <c r="N12" s="36">
        <v>1</v>
      </c>
      <c r="O12" s="13">
        <v>800</v>
      </c>
      <c r="P12" s="12">
        <f t="shared" si="0"/>
        <v>1488</v>
      </c>
      <c r="Q12" s="12">
        <f t="shared" si="1"/>
        <v>2256</v>
      </c>
      <c r="R12" s="12">
        <f>(P12+Q12)-Stock!E12</f>
        <v>667</v>
      </c>
      <c r="S12" s="13">
        <f>ROUNDUP(R12/O12,0)</f>
        <v>1</v>
      </c>
      <c r="T12" s="13">
        <f t="shared" si="3"/>
        <v>2</v>
      </c>
      <c r="U12" s="13">
        <f t="shared" si="4"/>
        <v>3</v>
      </c>
      <c r="V12" s="13">
        <f t="shared" si="5"/>
        <v>1600</v>
      </c>
      <c r="W12" s="13">
        <f t="shared" si="6"/>
        <v>2400</v>
      </c>
      <c r="X12" s="13" cm="1">
        <f t="array" ref="X12">_xlfn.IFS(P12+Q12&gt;Stock!E12,V12,P12+Q12&lt;Stock!E12,"No need",Stock!E12=0,V12,P12+Q12=Stock!E12,"No need")</f>
        <v>1600</v>
      </c>
      <c r="Y12" s="13" cm="1">
        <f t="array" ref="Y12">_xlfn.IFS(P12+Q12&gt;Stock!E12,W12,P12+Q12&lt;Stock!E12,"No need",Stock!E12=0,W12,P12+Q12=Stock!E12,"No need")</f>
        <v>2400</v>
      </c>
      <c r="Z12" s="13" cm="1">
        <f t="array" ref="Z12">_xlfn.IFS(ISNUMBER(X12+Y12),X12+Y12,ISTEXT(X12&amp;Y12),"No need")</f>
        <v>4000</v>
      </c>
      <c r="AA12" s="13" cm="1">
        <f t="array" ref="AA12">_xlfn.IFS(S12*O12&gt;0,S12*O12,S12*O12&lt;0,"No need",S12*O12=0,0)</f>
        <v>800</v>
      </c>
    </row>
    <row r="13" spans="1:27">
      <c r="A13" s="34">
        <v>11</v>
      </c>
      <c r="B13" s="35">
        <v>9814492580</v>
      </c>
      <c r="C13" s="35" t="s">
        <v>311</v>
      </c>
      <c r="D13" s="34" t="s">
        <v>25</v>
      </c>
      <c r="E13" s="34" t="s">
        <v>26</v>
      </c>
      <c r="F13" s="34" t="s">
        <v>337</v>
      </c>
      <c r="G13" s="34">
        <v>1</v>
      </c>
      <c r="H13" s="34">
        <v>0</v>
      </c>
      <c r="I13" s="34">
        <v>0</v>
      </c>
      <c r="J13" s="34">
        <v>1</v>
      </c>
      <c r="K13" s="36">
        <v>1</v>
      </c>
      <c r="L13" s="36">
        <v>0</v>
      </c>
      <c r="M13" s="36">
        <v>0</v>
      </c>
      <c r="N13" s="36">
        <v>1</v>
      </c>
      <c r="O13" s="13">
        <v>800</v>
      </c>
      <c r="P13" s="12">
        <f t="shared" si="0"/>
        <v>1488</v>
      </c>
      <c r="Q13" s="12">
        <f t="shared" si="1"/>
        <v>2256</v>
      </c>
      <c r="R13" s="12">
        <f>(P13+Q13)-Stock!E13</f>
        <v>673</v>
      </c>
      <c r="S13" s="13">
        <f t="shared" si="2"/>
        <v>1</v>
      </c>
      <c r="T13" s="13">
        <f t="shared" si="3"/>
        <v>2</v>
      </c>
      <c r="U13" s="13">
        <f t="shared" si="4"/>
        <v>3</v>
      </c>
      <c r="V13" s="13">
        <f t="shared" si="5"/>
        <v>1600</v>
      </c>
      <c r="W13" s="13">
        <f t="shared" si="6"/>
        <v>2400</v>
      </c>
      <c r="X13" s="13" cm="1">
        <f t="array" ref="X13">_xlfn.IFS(P13+Q13&gt;Stock!E13,V13,P13+Q13&lt;Stock!E13,"No need",Stock!E13=0,V13,P13+Q13=Stock!E13,"No need")</f>
        <v>1600</v>
      </c>
      <c r="Y13" s="13" cm="1">
        <f t="array" ref="Y13">_xlfn.IFS(P13+Q13&gt;Stock!E13,W13,P13+Q13&lt;Stock!E13,"No need",Stock!E13=0,W13,P13+Q13=Stock!E13,"No need")</f>
        <v>2400</v>
      </c>
      <c r="Z13" s="13" cm="1">
        <f t="array" ref="Z13">_xlfn.IFS(ISNUMBER(X13+Y13),X13+Y13,ISTEXT(X13&amp;Y13),"No need")</f>
        <v>4000</v>
      </c>
      <c r="AA13" s="13" cm="1">
        <f t="array" ref="AA13">_xlfn.IFS(S13*O13&gt;0,S13*O13,S13*O13&lt;0,"No need",S13*O13=0,0)</f>
        <v>800</v>
      </c>
    </row>
    <row r="14" spans="1:27">
      <c r="A14" s="34">
        <v>12</v>
      </c>
      <c r="B14" s="35">
        <v>9818614480</v>
      </c>
      <c r="C14" s="35" t="s">
        <v>311</v>
      </c>
      <c r="D14" s="34" t="s">
        <v>27</v>
      </c>
      <c r="E14" s="34" t="s">
        <v>28</v>
      </c>
      <c r="F14" s="34" t="s">
        <v>337</v>
      </c>
      <c r="G14" s="34">
        <v>0</v>
      </c>
      <c r="H14" s="34">
        <v>0</v>
      </c>
      <c r="I14" s="34">
        <v>0</v>
      </c>
      <c r="J14" s="34">
        <v>0</v>
      </c>
      <c r="K14" s="36">
        <v>5</v>
      </c>
      <c r="L14" s="36">
        <v>1</v>
      </c>
      <c r="M14" s="36">
        <v>1</v>
      </c>
      <c r="N14" s="36">
        <v>3</v>
      </c>
      <c r="O14" s="13">
        <v>1000</v>
      </c>
      <c r="P14" s="12">
        <f t="shared" si="0"/>
        <v>0</v>
      </c>
      <c r="Q14" s="12">
        <f t="shared" si="1"/>
        <v>11280</v>
      </c>
      <c r="R14" s="12">
        <f>(P14+Q14)-Stock!E14</f>
        <v>2880</v>
      </c>
      <c r="S14" s="13">
        <f t="shared" si="2"/>
        <v>3</v>
      </c>
      <c r="T14" s="13">
        <f t="shared" si="3"/>
        <v>0</v>
      </c>
      <c r="U14" s="13">
        <f t="shared" si="4"/>
        <v>12</v>
      </c>
      <c r="V14" s="13">
        <f t="shared" si="5"/>
        <v>0</v>
      </c>
      <c r="W14" s="13">
        <f t="shared" si="6"/>
        <v>12000</v>
      </c>
      <c r="X14" s="13" cm="1">
        <f t="array" ref="X14">_xlfn.IFS(P14+Q14&gt;Stock!E14,V14,P14+Q14&lt;Stock!E14,"No need",Stock!E14=0,V14,P14+Q14=Stock!E14,"No need")</f>
        <v>0</v>
      </c>
      <c r="Y14" s="13" cm="1">
        <f t="array" ref="Y14">_xlfn.IFS(P14+Q14&gt;Stock!E14,W14,P14+Q14&lt;Stock!E14,"No need",Stock!E14=0,W14,P14+Q14=Stock!E14,"No need")</f>
        <v>12000</v>
      </c>
      <c r="Z14" s="13" cm="1">
        <f t="array" ref="Z14">_xlfn.IFS(ISNUMBER(X14+Y14),X14+Y14,ISTEXT(X14&amp;Y14),"No need")</f>
        <v>12000</v>
      </c>
      <c r="AA14" s="13" cm="1">
        <f t="array" ref="AA14">_xlfn.IFS(S14*O14&gt;0,S14*O14,S14*O14&lt;0,"No need",S14*O14=0,0)</f>
        <v>3000</v>
      </c>
    </row>
    <row r="15" spans="1:27">
      <c r="A15" s="34">
        <v>13</v>
      </c>
      <c r="B15" s="35">
        <v>9818614580</v>
      </c>
      <c r="C15" s="35" t="s">
        <v>311</v>
      </c>
      <c r="D15" s="34" t="s">
        <v>29</v>
      </c>
      <c r="E15" s="34" t="s">
        <v>30</v>
      </c>
      <c r="F15" s="34" t="s">
        <v>337</v>
      </c>
      <c r="G15" s="34">
        <v>0</v>
      </c>
      <c r="H15" s="34">
        <v>0</v>
      </c>
      <c r="I15" s="34">
        <v>0</v>
      </c>
      <c r="J15" s="34">
        <v>0</v>
      </c>
      <c r="K15" s="36">
        <v>5</v>
      </c>
      <c r="L15" s="36">
        <v>1</v>
      </c>
      <c r="M15" s="36">
        <v>1</v>
      </c>
      <c r="N15" s="36">
        <v>3</v>
      </c>
      <c r="O15" s="13">
        <v>1000</v>
      </c>
      <c r="P15" s="12">
        <f t="shared" si="0"/>
        <v>0</v>
      </c>
      <c r="Q15" s="12">
        <f t="shared" si="1"/>
        <v>11280</v>
      </c>
      <c r="R15" s="12">
        <f>(P15+Q15)-Stock!E15</f>
        <v>2870</v>
      </c>
      <c r="S15" s="13">
        <f t="shared" si="2"/>
        <v>3</v>
      </c>
      <c r="T15" s="13">
        <f t="shared" si="3"/>
        <v>0</v>
      </c>
      <c r="U15" s="13">
        <f t="shared" si="4"/>
        <v>12</v>
      </c>
      <c r="V15" s="13">
        <f t="shared" si="5"/>
        <v>0</v>
      </c>
      <c r="W15" s="13">
        <f t="shared" si="6"/>
        <v>12000</v>
      </c>
      <c r="X15" s="13" cm="1">
        <f t="array" ref="X15">_xlfn.IFS(P15+Q15&gt;Stock!E15,V15,P15+Q15&lt;Stock!E15,"No need",Stock!E15=0,V15,P15+Q15=Stock!E15,"No need")</f>
        <v>0</v>
      </c>
      <c r="Y15" s="13" cm="1">
        <f t="array" ref="Y15">_xlfn.IFS(P15+Q15&gt;Stock!E15,W15,P15+Q15&lt;Stock!E15,"No need",Stock!E15=0,W15,P15+Q15=Stock!E15,"No need")</f>
        <v>12000</v>
      </c>
      <c r="Z15" s="13" cm="1">
        <f t="array" ref="Z15">_xlfn.IFS(ISNUMBER(X15+Y15),X15+Y15,ISTEXT(X15&amp;Y15),"No need")</f>
        <v>12000</v>
      </c>
      <c r="AA15" s="13" cm="1">
        <f t="array" ref="AA15">_xlfn.IFS(S15*O15&gt;0,S15*O15,S15*O15&lt;0,"No need",S15*O15=0,0)</f>
        <v>3000</v>
      </c>
    </row>
    <row r="16" spans="1:27">
      <c r="A16" s="34">
        <v>14</v>
      </c>
      <c r="B16" s="35">
        <v>9811628680</v>
      </c>
      <c r="C16" s="35" t="s">
        <v>311</v>
      </c>
      <c r="D16" s="34" t="s">
        <v>31</v>
      </c>
      <c r="E16" s="34" t="s">
        <v>32</v>
      </c>
      <c r="F16" s="34" t="s">
        <v>337</v>
      </c>
      <c r="G16" s="34">
        <v>0</v>
      </c>
      <c r="H16" s="34">
        <v>0</v>
      </c>
      <c r="I16" s="34">
        <v>0</v>
      </c>
      <c r="J16" s="34">
        <v>0</v>
      </c>
      <c r="K16" s="36">
        <v>6</v>
      </c>
      <c r="L16" s="36">
        <v>3</v>
      </c>
      <c r="M16" s="36">
        <v>3</v>
      </c>
      <c r="N16" s="36">
        <v>0</v>
      </c>
      <c r="O16" s="13">
        <v>3200</v>
      </c>
      <c r="P16" s="12">
        <f t="shared" si="0"/>
        <v>0</v>
      </c>
      <c r="Q16" s="12">
        <f t="shared" si="1"/>
        <v>13536</v>
      </c>
      <c r="R16" s="12">
        <f>(P16+Q16)-Stock!E16</f>
        <v>1736</v>
      </c>
      <c r="S16" s="13">
        <f t="shared" si="2"/>
        <v>1</v>
      </c>
      <c r="T16" s="13">
        <f t="shared" si="3"/>
        <v>0</v>
      </c>
      <c r="U16" s="13">
        <f t="shared" si="4"/>
        <v>5</v>
      </c>
      <c r="V16" s="13">
        <f t="shared" si="5"/>
        <v>0</v>
      </c>
      <c r="W16" s="13">
        <f t="shared" si="6"/>
        <v>16000</v>
      </c>
      <c r="X16" s="13" cm="1">
        <f t="array" ref="X16">_xlfn.IFS(P16+Q16&gt;Stock!E16,V16,P16+Q16&lt;Stock!E16,"No need",Stock!E16=0,V16,P16+Q16=Stock!E16,"No need")</f>
        <v>0</v>
      </c>
      <c r="Y16" s="13" cm="1">
        <f t="array" ref="Y16">_xlfn.IFS(P16+Q16&gt;Stock!E16,W16,P16+Q16&lt;Stock!E16,"No need",Stock!E16=0,W16,P16+Q16=Stock!E16,"No need")</f>
        <v>16000</v>
      </c>
      <c r="Z16" s="13" cm="1">
        <f t="array" ref="Z16">_xlfn.IFS(ISNUMBER(X16+Y16),X16+Y16,ISTEXT(X16&amp;Y16),"No need")</f>
        <v>16000</v>
      </c>
      <c r="AA16" s="13" cm="1">
        <f t="array" ref="AA16">_xlfn.IFS(S16*O16&gt;0,S16*O16,S16*O16&lt;0,"No need",S16*O16=0,0)</f>
        <v>3200</v>
      </c>
    </row>
    <row r="17" spans="1:27">
      <c r="A17" s="34">
        <v>15</v>
      </c>
      <c r="B17" s="68" t="s">
        <v>33</v>
      </c>
      <c r="C17" s="68" t="s">
        <v>311</v>
      </c>
      <c r="D17" s="67" t="s">
        <v>34</v>
      </c>
      <c r="E17" s="67" t="s">
        <v>35</v>
      </c>
      <c r="F17" s="34" t="s">
        <v>337</v>
      </c>
      <c r="G17" s="34">
        <v>1</v>
      </c>
      <c r="H17" s="34">
        <v>1</v>
      </c>
      <c r="I17" s="34">
        <v>0</v>
      </c>
      <c r="J17" s="34">
        <v>0</v>
      </c>
      <c r="K17" s="36">
        <v>0</v>
      </c>
      <c r="L17" s="36">
        <v>0</v>
      </c>
      <c r="M17" s="36">
        <v>0</v>
      </c>
      <c r="N17" s="36">
        <v>0</v>
      </c>
      <c r="O17" s="13">
        <v>360</v>
      </c>
      <c r="P17" s="12">
        <f t="shared" si="0"/>
        <v>1488</v>
      </c>
      <c r="Q17" s="12">
        <f t="shared" si="1"/>
        <v>0</v>
      </c>
      <c r="R17" s="12">
        <f>(P17+Q17)-Stock!E17</f>
        <v>65</v>
      </c>
      <c r="S17" s="13">
        <f t="shared" si="2"/>
        <v>1</v>
      </c>
      <c r="T17" s="13">
        <f t="shared" si="3"/>
        <v>5</v>
      </c>
      <c r="U17" s="13">
        <f t="shared" si="4"/>
        <v>0</v>
      </c>
      <c r="V17" s="13">
        <f t="shared" si="5"/>
        <v>1800</v>
      </c>
      <c r="W17" s="13">
        <f t="shared" si="6"/>
        <v>0</v>
      </c>
      <c r="X17" s="13" cm="1">
        <f t="array" ref="X17">_xlfn.IFS(P17+Q17&gt;Stock!E17,V17,P17+Q17&lt;Stock!E17,"No need",Stock!E17=0,V17,P17+Q17=Stock!E17,"No need")</f>
        <v>1800</v>
      </c>
      <c r="Y17" s="13" cm="1">
        <f t="array" ref="Y17">_xlfn.IFS(P17+Q17&gt;Stock!E17,W17,P17+Q17&lt;Stock!E17,"No need",Stock!E17=0,W17,P17+Q17=Stock!E17,"No need")</f>
        <v>0</v>
      </c>
      <c r="Z17" s="13" cm="1">
        <f t="array" ref="Z17">_xlfn.IFS(ISNUMBER(X17+Y17),X17+Y17,ISTEXT(X17&amp;Y17),"No need")</f>
        <v>1800</v>
      </c>
      <c r="AA17" s="13" cm="1">
        <f t="array" ref="AA17">_xlfn.IFS(S17*O17&gt;0,S17*O17,S17*O17&lt;0,"No need",S17*O17=0,0)</f>
        <v>360</v>
      </c>
    </row>
    <row r="18" spans="1:27">
      <c r="A18" s="34">
        <v>16</v>
      </c>
      <c r="B18" s="68" t="s">
        <v>36</v>
      </c>
      <c r="C18" s="68" t="s">
        <v>311</v>
      </c>
      <c r="D18" s="67" t="s">
        <v>37</v>
      </c>
      <c r="E18" s="67" t="s">
        <v>38</v>
      </c>
      <c r="F18" s="34" t="s">
        <v>337</v>
      </c>
      <c r="G18" s="34">
        <v>1</v>
      </c>
      <c r="H18" s="34">
        <v>0</v>
      </c>
      <c r="I18" s="34">
        <v>1</v>
      </c>
      <c r="J18" s="34">
        <v>0</v>
      </c>
      <c r="K18" s="36">
        <v>0</v>
      </c>
      <c r="L18" s="36">
        <v>0</v>
      </c>
      <c r="M18" s="36">
        <v>0</v>
      </c>
      <c r="N18" s="36">
        <v>0</v>
      </c>
      <c r="O18" s="13">
        <v>360</v>
      </c>
      <c r="P18" s="12">
        <f t="shared" si="0"/>
        <v>1488</v>
      </c>
      <c r="Q18" s="12">
        <f t="shared" si="1"/>
        <v>0</v>
      </c>
      <c r="R18" s="12">
        <f>(P18+Q18)-Stock!E18</f>
        <v>63</v>
      </c>
      <c r="S18" s="13">
        <f t="shared" si="2"/>
        <v>1</v>
      </c>
      <c r="T18" s="13">
        <f t="shared" si="3"/>
        <v>5</v>
      </c>
      <c r="U18" s="13">
        <f t="shared" si="4"/>
        <v>0</v>
      </c>
      <c r="V18" s="13">
        <f t="shared" si="5"/>
        <v>1800</v>
      </c>
      <c r="W18" s="13">
        <f t="shared" si="6"/>
        <v>0</v>
      </c>
      <c r="X18" s="13" cm="1">
        <f t="array" ref="X18">_xlfn.IFS(P18+Q18&gt;Stock!E18,V18,P18+Q18&lt;Stock!E18,"No need",Stock!E18=0,V18,P18+Q18=Stock!E18,"No need")</f>
        <v>1800</v>
      </c>
      <c r="Y18" s="13" cm="1">
        <f t="array" ref="Y18">_xlfn.IFS(P18+Q18&gt;Stock!E18,W18,P18+Q18&lt;Stock!E18,"No need",Stock!E18=0,W18,P18+Q18=Stock!E18,"No need")</f>
        <v>0</v>
      </c>
      <c r="Z18" s="13" cm="1">
        <f t="array" ref="Z18">_xlfn.IFS(ISNUMBER(X18+Y18),X18+Y18,ISTEXT(X18&amp;Y18),"No need")</f>
        <v>1800</v>
      </c>
      <c r="AA18" s="13" cm="1">
        <f t="array" ref="AA18">_xlfn.IFS(S18*O18&gt;0,S18*O18,S18*O18&lt;0,"No need",S18*O18=0,0)</f>
        <v>360</v>
      </c>
    </row>
    <row r="19" spans="1:27">
      <c r="A19" s="34">
        <v>17</v>
      </c>
      <c r="B19" s="35" t="s">
        <v>39</v>
      </c>
      <c r="C19" s="35" t="s">
        <v>311</v>
      </c>
      <c r="D19" s="34" t="s">
        <v>40</v>
      </c>
      <c r="E19" s="34" t="s">
        <v>41</v>
      </c>
      <c r="F19" s="34" t="s">
        <v>337</v>
      </c>
      <c r="G19" s="34">
        <v>1</v>
      </c>
      <c r="H19" s="34">
        <v>1</v>
      </c>
      <c r="I19" s="34">
        <v>0</v>
      </c>
      <c r="J19" s="34">
        <v>0</v>
      </c>
      <c r="K19" s="36">
        <v>1</v>
      </c>
      <c r="L19" s="36">
        <v>1</v>
      </c>
      <c r="M19" s="36">
        <v>0</v>
      </c>
      <c r="N19" s="36">
        <v>0</v>
      </c>
      <c r="O19" s="13">
        <v>440</v>
      </c>
      <c r="P19" s="12">
        <f t="shared" si="0"/>
        <v>1488</v>
      </c>
      <c r="Q19" s="12">
        <f t="shared" si="1"/>
        <v>2256</v>
      </c>
      <c r="R19" s="12">
        <f>(P19+Q19)-Stock!E19</f>
        <v>794</v>
      </c>
      <c r="S19" s="13">
        <f t="shared" si="2"/>
        <v>2</v>
      </c>
      <c r="T19" s="13">
        <f t="shared" si="3"/>
        <v>4</v>
      </c>
      <c r="U19" s="13">
        <f t="shared" si="4"/>
        <v>6</v>
      </c>
      <c r="V19" s="13">
        <f t="shared" si="5"/>
        <v>1760</v>
      </c>
      <c r="W19" s="13">
        <f t="shared" si="6"/>
        <v>2640</v>
      </c>
      <c r="X19" s="13" cm="1">
        <f t="array" ref="X19">_xlfn.IFS(P19+Q19&gt;Stock!E19,V19,P19+Q19&lt;Stock!E19,"No need",Stock!E19=0,V19,P19+Q19=Stock!E19,"No need")</f>
        <v>1760</v>
      </c>
      <c r="Y19" s="13" cm="1">
        <f t="array" ref="Y19">_xlfn.IFS(P19+Q19&gt;Stock!E19,W19,P19+Q19&lt;Stock!E19,"No need",Stock!E19=0,W19,P19+Q19=Stock!E19,"No need")</f>
        <v>2640</v>
      </c>
      <c r="Z19" s="13" cm="1">
        <f t="array" ref="Z19">_xlfn.IFS(ISNUMBER(X19+Y19),X19+Y19,ISTEXT(X19&amp;Y19),"No need")</f>
        <v>4400</v>
      </c>
      <c r="AA19" s="13" cm="1">
        <f t="array" ref="AA19">_xlfn.IFS(S19*O19&gt;0,S19*O19,S19*O19&lt;0,"No need",S19*O19=0,0)</f>
        <v>880</v>
      </c>
    </row>
    <row r="20" spans="1:27">
      <c r="A20" s="34">
        <v>18</v>
      </c>
      <c r="B20" s="35" t="s">
        <v>42</v>
      </c>
      <c r="C20" s="35" t="s">
        <v>311</v>
      </c>
      <c r="D20" s="34" t="s">
        <v>43</v>
      </c>
      <c r="E20" s="34" t="s">
        <v>44</v>
      </c>
      <c r="F20" s="34" t="s">
        <v>337</v>
      </c>
      <c r="G20" s="34">
        <v>1</v>
      </c>
      <c r="H20" s="34">
        <v>0</v>
      </c>
      <c r="I20" s="34">
        <v>1</v>
      </c>
      <c r="J20" s="34">
        <v>0</v>
      </c>
      <c r="K20" s="36">
        <v>1</v>
      </c>
      <c r="L20" s="36">
        <v>0</v>
      </c>
      <c r="M20" s="36">
        <v>1</v>
      </c>
      <c r="N20" s="36">
        <v>0</v>
      </c>
      <c r="O20" s="13">
        <v>440</v>
      </c>
      <c r="P20" s="12">
        <f t="shared" si="0"/>
        <v>1488</v>
      </c>
      <c r="Q20" s="12">
        <f t="shared" si="1"/>
        <v>2256</v>
      </c>
      <c r="R20" s="12">
        <f>(P20+Q20)-Stock!E20</f>
        <v>796</v>
      </c>
      <c r="S20" s="13">
        <f t="shared" si="2"/>
        <v>2</v>
      </c>
      <c r="T20" s="13">
        <f t="shared" si="3"/>
        <v>4</v>
      </c>
      <c r="U20" s="13">
        <f t="shared" si="4"/>
        <v>6</v>
      </c>
      <c r="V20" s="13">
        <f t="shared" si="5"/>
        <v>1760</v>
      </c>
      <c r="W20" s="13">
        <f t="shared" si="6"/>
        <v>2640</v>
      </c>
      <c r="X20" s="13" cm="1">
        <f t="array" ref="X20">_xlfn.IFS(P20+Q20&gt;Stock!E20,V20,P20+Q20&lt;Stock!E20,"No need",Stock!E20=0,V20,P20+Q20=Stock!E20,"No need")</f>
        <v>1760</v>
      </c>
      <c r="Y20" s="13" cm="1">
        <f t="array" ref="Y20">_xlfn.IFS(P20+Q20&gt;Stock!E20,W20,P20+Q20&lt;Stock!E20,"No need",Stock!E20=0,W20,P20+Q20=Stock!E20,"No need")</f>
        <v>2640</v>
      </c>
      <c r="Z20" s="13" cm="1">
        <f t="array" ref="Z20">_xlfn.IFS(ISNUMBER(X20+Y20),X20+Y20,ISTEXT(X20&amp;Y20),"No need")</f>
        <v>4400</v>
      </c>
      <c r="AA20" s="13" cm="1">
        <f t="array" ref="AA20">_xlfn.IFS(S20*O20&gt;0,S20*O20,S20*O20&lt;0,"No need",S20*O20=0,0)</f>
        <v>880</v>
      </c>
    </row>
    <row r="21" spans="1:27">
      <c r="A21" s="34">
        <v>19</v>
      </c>
      <c r="B21" s="35">
        <v>9825038780</v>
      </c>
      <c r="C21" s="35" t="s">
        <v>311</v>
      </c>
      <c r="D21" s="34" t="s">
        <v>45</v>
      </c>
      <c r="E21" s="34" t="s">
        <v>46</v>
      </c>
      <c r="F21" s="34" t="s">
        <v>337</v>
      </c>
      <c r="G21" s="34">
        <v>2</v>
      </c>
      <c r="H21" s="34">
        <v>1</v>
      </c>
      <c r="I21" s="34">
        <v>1</v>
      </c>
      <c r="J21" s="34">
        <v>0</v>
      </c>
      <c r="K21" s="36">
        <v>0</v>
      </c>
      <c r="L21" s="36">
        <v>0</v>
      </c>
      <c r="M21" s="36">
        <v>0</v>
      </c>
      <c r="N21" s="36">
        <v>0</v>
      </c>
      <c r="O21" s="17">
        <v>840</v>
      </c>
      <c r="P21" s="18">
        <f t="shared" si="0"/>
        <v>2976</v>
      </c>
      <c r="Q21" s="18">
        <f t="shared" si="1"/>
        <v>0</v>
      </c>
      <c r="R21" s="12">
        <f>(P21+Q21)-Stock!E21</f>
        <v>571</v>
      </c>
      <c r="S21" s="13">
        <f t="shared" si="2"/>
        <v>1</v>
      </c>
      <c r="T21" s="13">
        <f t="shared" si="3"/>
        <v>4</v>
      </c>
      <c r="U21" s="13">
        <f t="shared" si="4"/>
        <v>0</v>
      </c>
      <c r="V21" s="13">
        <f t="shared" si="5"/>
        <v>3360</v>
      </c>
      <c r="W21" s="13">
        <f t="shared" si="6"/>
        <v>0</v>
      </c>
      <c r="X21" s="13" cm="1">
        <f t="array" ref="X21">_xlfn.IFS(P21+Q21&gt;Stock!E21,V21,P21+Q21&lt;Stock!E21,"No need",Stock!E21=0,V21,P21+Q21=Stock!E21,"No need")</f>
        <v>3360</v>
      </c>
      <c r="Y21" s="13" cm="1">
        <f t="array" ref="Y21">_xlfn.IFS(P21+Q21&gt;Stock!E21,W21,P21+Q21&lt;Stock!E21,"No need",Stock!E21=0,W21,P21+Q21=Stock!E21,"No need")</f>
        <v>0</v>
      </c>
      <c r="Z21" s="13" cm="1">
        <f t="array" ref="Z21">_xlfn.IFS(ISNUMBER(X21+Y21),X21+Y21,ISTEXT(X21&amp;Y21),"No need")</f>
        <v>3360</v>
      </c>
      <c r="AA21" s="13" cm="1">
        <f t="array" ref="AA21">_xlfn.IFS(S21*O21&gt;0,S21*O21,S21*O21&lt;0,"No need",S21*O21=0,0)</f>
        <v>840</v>
      </c>
    </row>
    <row r="22" spans="1:27">
      <c r="A22" s="34">
        <v>20</v>
      </c>
      <c r="B22" s="35">
        <v>9825048280</v>
      </c>
      <c r="C22" s="35" t="s">
        <v>311</v>
      </c>
      <c r="D22" s="34" t="s">
        <v>77</v>
      </c>
      <c r="E22" s="34" t="s">
        <v>78</v>
      </c>
      <c r="F22" s="34" t="s">
        <v>337</v>
      </c>
      <c r="G22" s="34">
        <v>0</v>
      </c>
      <c r="H22" s="34">
        <v>0</v>
      </c>
      <c r="I22" s="34">
        <v>0</v>
      </c>
      <c r="J22" s="34">
        <v>0</v>
      </c>
      <c r="K22" s="36">
        <v>1</v>
      </c>
      <c r="L22" s="36">
        <v>0</v>
      </c>
      <c r="M22" s="36">
        <v>1</v>
      </c>
      <c r="N22" s="36">
        <v>0</v>
      </c>
      <c r="O22" s="13">
        <v>1800</v>
      </c>
      <c r="P22" s="12">
        <f>G22*$P$2</f>
        <v>0</v>
      </c>
      <c r="Q22" s="12">
        <f>K22*$Q$2</f>
        <v>2256</v>
      </c>
      <c r="R22" s="12">
        <f>(P22+Q22)-Stock!E22</f>
        <v>511</v>
      </c>
      <c r="S22" s="13">
        <f t="shared" si="2"/>
        <v>1</v>
      </c>
      <c r="T22" s="13">
        <f>ROUNDUP($P$2/O22*G22,0)</f>
        <v>0</v>
      </c>
      <c r="U22" s="13">
        <f>ROUNDUP($Q$2/O22*K22,0)</f>
        <v>2</v>
      </c>
      <c r="V22" s="13">
        <f>T22*O22</f>
        <v>0</v>
      </c>
      <c r="W22" s="13">
        <f>O22*U22</f>
        <v>3600</v>
      </c>
      <c r="X22" s="13" cm="1">
        <f t="array" ref="X22">_xlfn.IFS(P22+Q22&gt;Stock!E22,V22,P22+Q22&lt;Stock!E22,"No need",Stock!E22=0,V22,P22+Q22=Stock!E22,"No need")</f>
        <v>0</v>
      </c>
      <c r="Y22" s="13" cm="1">
        <f t="array" ref="Y22">_xlfn.IFS(P22+Q22&gt;Stock!E22,W22,P22+Q22&lt;Stock!E22,"No need",Stock!E22=0,W22,P22+Q22=Stock!E22,"No need")</f>
        <v>3600</v>
      </c>
      <c r="Z22" s="13" cm="1">
        <f t="array" ref="Z22">_xlfn.IFS(ISNUMBER(X22+Y22),X22+Y22,ISTEXT(X22&amp;Y22),"No need")</f>
        <v>3600</v>
      </c>
      <c r="AA22" s="13" cm="1">
        <f t="array" ref="AA22">_xlfn.IFS(S22*O22&gt;0,S22*O22,S22*O22&lt;0,"No need",S22*O22=0,0)</f>
        <v>1800</v>
      </c>
    </row>
    <row r="23" spans="1:27">
      <c r="A23" s="34">
        <v>21</v>
      </c>
      <c r="B23" s="35">
        <v>9825013880</v>
      </c>
      <c r="C23" s="35" t="s">
        <v>311</v>
      </c>
      <c r="D23" s="34" t="s">
        <v>47</v>
      </c>
      <c r="E23" s="34" t="s">
        <v>48</v>
      </c>
      <c r="F23" s="34" t="s">
        <v>337</v>
      </c>
      <c r="G23" s="34">
        <v>0</v>
      </c>
      <c r="H23" s="34">
        <v>0</v>
      </c>
      <c r="I23" s="34">
        <v>0</v>
      </c>
      <c r="J23" s="34">
        <v>0</v>
      </c>
      <c r="K23" s="36">
        <v>1</v>
      </c>
      <c r="L23" s="36">
        <v>0</v>
      </c>
      <c r="M23" s="36">
        <v>1</v>
      </c>
      <c r="N23" s="36">
        <v>0</v>
      </c>
      <c r="O23" s="13">
        <v>954</v>
      </c>
      <c r="P23" s="12">
        <f t="shared" si="0"/>
        <v>0</v>
      </c>
      <c r="Q23" s="12">
        <f t="shared" si="1"/>
        <v>2256</v>
      </c>
      <c r="R23" s="12">
        <f>(P23+Q23)-Stock!E23</f>
        <v>552</v>
      </c>
      <c r="S23" s="13">
        <f t="shared" si="2"/>
        <v>1</v>
      </c>
      <c r="T23" s="13">
        <f t="shared" si="3"/>
        <v>0</v>
      </c>
      <c r="U23" s="13">
        <f t="shared" si="4"/>
        <v>3</v>
      </c>
      <c r="V23" s="13">
        <f t="shared" si="5"/>
        <v>0</v>
      </c>
      <c r="W23" s="13">
        <f t="shared" si="6"/>
        <v>2862</v>
      </c>
      <c r="X23" s="13" cm="1">
        <f t="array" ref="X23">_xlfn.IFS(P23+Q23&gt;Stock!E23,V23,P23+Q23&lt;Stock!E23,"No need",Stock!E23=0,V23,P23+Q23=Stock!E23,"No need")</f>
        <v>0</v>
      </c>
      <c r="Y23" s="13" cm="1">
        <f t="array" ref="Y23">_xlfn.IFS(P23+Q23&gt;Stock!E23,W23,P23+Q23&lt;Stock!E23,"No need",Stock!E23=0,W23,P23+Q23=Stock!E23,"No need")</f>
        <v>2862</v>
      </c>
      <c r="Z23" s="13" cm="1">
        <f t="array" ref="Z23">_xlfn.IFS(ISNUMBER(X23+Y23),X23+Y23,ISTEXT(X23&amp;Y23),"No need")</f>
        <v>2862</v>
      </c>
      <c r="AA23" s="13" cm="1">
        <f t="array" ref="AA23">_xlfn.IFS(S23*O23&gt;0,S23*O23,S23*O23&lt;0,"No need",S23*O23=0,0)</f>
        <v>954</v>
      </c>
    </row>
    <row r="24" spans="1:27">
      <c r="A24" s="34">
        <v>22</v>
      </c>
      <c r="B24" s="35">
        <v>9846498080</v>
      </c>
      <c r="C24" s="35" t="s">
        <v>311</v>
      </c>
      <c r="D24" s="34" t="s">
        <v>49</v>
      </c>
      <c r="E24" s="34" t="s">
        <v>50</v>
      </c>
      <c r="F24" s="34" t="s">
        <v>337</v>
      </c>
      <c r="G24" s="34">
        <v>1</v>
      </c>
      <c r="H24" s="34">
        <v>1</v>
      </c>
      <c r="I24" s="34">
        <v>0</v>
      </c>
      <c r="J24" s="34">
        <v>0</v>
      </c>
      <c r="K24" s="36">
        <v>0</v>
      </c>
      <c r="L24" s="36">
        <v>0</v>
      </c>
      <c r="M24" s="36">
        <v>0</v>
      </c>
      <c r="N24" s="36">
        <v>0</v>
      </c>
      <c r="O24" s="13">
        <v>720</v>
      </c>
      <c r="P24" s="12">
        <f t="shared" si="0"/>
        <v>1488</v>
      </c>
      <c r="Q24" s="12">
        <f t="shared" si="1"/>
        <v>0</v>
      </c>
      <c r="R24" s="12">
        <f>(P24+Q24)-Stock!E24</f>
        <v>98</v>
      </c>
      <c r="S24" s="13">
        <f t="shared" si="2"/>
        <v>1</v>
      </c>
      <c r="T24" s="13">
        <f t="shared" si="3"/>
        <v>3</v>
      </c>
      <c r="U24" s="13">
        <f t="shared" si="4"/>
        <v>0</v>
      </c>
      <c r="V24" s="13">
        <f t="shared" si="5"/>
        <v>2160</v>
      </c>
      <c r="W24" s="13">
        <f t="shared" si="6"/>
        <v>0</v>
      </c>
      <c r="X24" s="13" cm="1">
        <f t="array" ref="X24">_xlfn.IFS(P24+Q24&gt;Stock!E24,V24,P24+Q24&lt;Stock!E24,"No need",Stock!E24=0,V24,P24+Q24=Stock!E24,"No need")</f>
        <v>2160</v>
      </c>
      <c r="Y24" s="13" cm="1">
        <f t="array" ref="Y24">_xlfn.IFS(P24+Q24&gt;Stock!E24,W24,P24+Q24&lt;Stock!E24,"No need",Stock!E24=0,W24,P24+Q24=Stock!E24,"No need")</f>
        <v>0</v>
      </c>
      <c r="Z24" s="13" cm="1">
        <f t="array" ref="Z24">_xlfn.IFS(ISNUMBER(X24+Y24),X24+Y24,ISTEXT(X24&amp;Y24),"No need")</f>
        <v>2160</v>
      </c>
      <c r="AA24" s="13" cm="1">
        <f t="array" ref="AA24">_xlfn.IFS(S24*O24&gt;0,S24*O24,S24*O24&lt;0,"No need",S24*O24=0,0)</f>
        <v>720</v>
      </c>
    </row>
    <row r="25" spans="1:27">
      <c r="A25" s="34">
        <v>23</v>
      </c>
      <c r="B25" s="35">
        <v>9846498180</v>
      </c>
      <c r="C25" s="35" t="s">
        <v>311</v>
      </c>
      <c r="D25" s="34" t="s">
        <v>51</v>
      </c>
      <c r="E25" s="34" t="s">
        <v>52</v>
      </c>
      <c r="F25" s="34" t="s">
        <v>337</v>
      </c>
      <c r="G25" s="34">
        <v>1</v>
      </c>
      <c r="H25" s="34">
        <v>1</v>
      </c>
      <c r="I25" s="34">
        <v>0</v>
      </c>
      <c r="J25" s="34">
        <v>0</v>
      </c>
      <c r="K25" s="36">
        <v>0</v>
      </c>
      <c r="L25" s="36">
        <v>0</v>
      </c>
      <c r="M25" s="36">
        <v>0</v>
      </c>
      <c r="N25" s="36">
        <v>0</v>
      </c>
      <c r="O25" s="13">
        <v>1200</v>
      </c>
      <c r="P25" s="12">
        <f t="shared" si="0"/>
        <v>1488</v>
      </c>
      <c r="Q25" s="12">
        <f t="shared" si="1"/>
        <v>0</v>
      </c>
      <c r="R25" s="12">
        <f>(P25+Q25)-Stock!E25</f>
        <v>-860</v>
      </c>
      <c r="S25" s="13">
        <f t="shared" si="2"/>
        <v>-1</v>
      </c>
      <c r="T25" s="13">
        <f t="shared" si="3"/>
        <v>2</v>
      </c>
      <c r="U25" s="13">
        <f t="shared" si="4"/>
        <v>0</v>
      </c>
      <c r="V25" s="13">
        <f t="shared" si="5"/>
        <v>2400</v>
      </c>
      <c r="W25" s="13">
        <f t="shared" si="6"/>
        <v>0</v>
      </c>
      <c r="X25" s="13" t="str" cm="1">
        <f t="array" ref="X25">_xlfn.IFS(P25+Q25&gt;Stock!E25,V25,P25+Q25&lt;Stock!E25,"No need",Stock!E25=0,V25,P25+Q25=Stock!E25,"No need")</f>
        <v>No need</v>
      </c>
      <c r="Y25" s="13" t="str" cm="1">
        <f t="array" ref="Y25">_xlfn.IFS(P25+Q25&gt;Stock!E25,W25,P25+Q25&lt;Stock!E25,"No need",Stock!E25=0,W25,P25+Q25=Stock!E25,"No need")</f>
        <v>No need</v>
      </c>
      <c r="Z25" s="13" t="str" cm="1">
        <f t="array" ref="Z25">_xlfn.IFS(ISNUMBER(X25+Y25),X25+Y25,ISTEXT(X25&amp;Y25),"No need")</f>
        <v>No need</v>
      </c>
      <c r="AA25" s="13" t="str" cm="1">
        <f t="array" ref="AA25">_xlfn.IFS(S25*O25&gt;0,S25*O25,S25*O25&lt;0,"No need",S25*O25=0,0)</f>
        <v>No need</v>
      </c>
    </row>
    <row r="26" spans="1:27">
      <c r="A26" s="34">
        <v>24</v>
      </c>
      <c r="B26" s="35" t="s">
        <v>53</v>
      </c>
      <c r="C26" s="35" t="s">
        <v>311</v>
      </c>
      <c r="D26" s="34" t="s">
        <v>54</v>
      </c>
      <c r="E26" s="34" t="s">
        <v>55</v>
      </c>
      <c r="F26" s="34" t="s">
        <v>337</v>
      </c>
      <c r="G26" s="34">
        <v>1</v>
      </c>
      <c r="H26" s="34">
        <v>1</v>
      </c>
      <c r="I26" s="34">
        <v>0</v>
      </c>
      <c r="J26" s="34">
        <v>0</v>
      </c>
      <c r="K26" s="36">
        <v>0</v>
      </c>
      <c r="L26" s="36">
        <v>0</v>
      </c>
      <c r="M26" s="36">
        <v>0</v>
      </c>
      <c r="N26" s="36">
        <v>0</v>
      </c>
      <c r="O26" s="13">
        <v>2480</v>
      </c>
      <c r="P26" s="12">
        <f t="shared" si="0"/>
        <v>1488</v>
      </c>
      <c r="Q26" s="12">
        <f t="shared" si="1"/>
        <v>0</v>
      </c>
      <c r="R26" s="12">
        <f>(P26+Q26)-Stock!E26</f>
        <v>-952</v>
      </c>
      <c r="S26" s="13">
        <f t="shared" si="2"/>
        <v>-1</v>
      </c>
      <c r="T26" s="13">
        <f t="shared" si="3"/>
        <v>1</v>
      </c>
      <c r="U26" s="13">
        <f t="shared" si="4"/>
        <v>0</v>
      </c>
      <c r="V26" s="13">
        <f t="shared" si="5"/>
        <v>2480</v>
      </c>
      <c r="W26" s="13">
        <f t="shared" si="6"/>
        <v>0</v>
      </c>
      <c r="X26" s="13" t="str" cm="1">
        <f t="array" ref="X26">_xlfn.IFS(P26+Q26&gt;Stock!E26,V26,P26+Q26&lt;Stock!E26,"No need",Stock!E26=0,V26,P26+Q26=Stock!E26,"No need")</f>
        <v>No need</v>
      </c>
      <c r="Y26" s="13" t="str" cm="1">
        <f t="array" ref="Y26">_xlfn.IFS(P26+Q26&gt;Stock!E26,W26,P26+Q26&lt;Stock!E26,"No need",Stock!E26=0,W26,P26+Q26=Stock!E26,"No need")</f>
        <v>No need</v>
      </c>
      <c r="Z26" s="13" t="str" cm="1">
        <f t="array" ref="Z26">_xlfn.IFS(ISNUMBER(X26+Y26),X26+Y26,ISTEXT(X26&amp;Y26),"No need")</f>
        <v>No need</v>
      </c>
      <c r="AA26" s="13" t="str" cm="1">
        <f t="array" ref="AA26">_xlfn.IFS(S26*O26&gt;0,S26*O26,S26*O26&lt;0,"No need",S26*O26=0,0)</f>
        <v>No need</v>
      </c>
    </row>
    <row r="27" spans="1:27">
      <c r="A27" s="34">
        <v>25</v>
      </c>
      <c r="B27" s="35" t="s">
        <v>56</v>
      </c>
      <c r="C27" s="35" t="s">
        <v>311</v>
      </c>
      <c r="D27" s="34" t="s">
        <v>57</v>
      </c>
      <c r="E27" s="34" t="s">
        <v>58</v>
      </c>
      <c r="F27" s="34" t="s">
        <v>337</v>
      </c>
      <c r="G27" s="34">
        <v>1</v>
      </c>
      <c r="H27" s="34">
        <v>0</v>
      </c>
      <c r="I27" s="34">
        <v>1</v>
      </c>
      <c r="J27" s="34">
        <v>0</v>
      </c>
      <c r="K27" s="36">
        <v>1</v>
      </c>
      <c r="L27" s="36">
        <v>0</v>
      </c>
      <c r="M27" s="36">
        <v>1</v>
      </c>
      <c r="N27" s="36">
        <v>0</v>
      </c>
      <c r="O27" s="13">
        <v>2480</v>
      </c>
      <c r="P27" s="12">
        <f t="shared" si="0"/>
        <v>1488</v>
      </c>
      <c r="Q27" s="12">
        <f t="shared" si="1"/>
        <v>2256</v>
      </c>
      <c r="R27" s="12">
        <f>(P27+Q27)-Stock!E27</f>
        <v>-1093</v>
      </c>
      <c r="S27" s="13">
        <f t="shared" si="2"/>
        <v>-1</v>
      </c>
      <c r="T27" s="13">
        <f t="shared" si="3"/>
        <v>1</v>
      </c>
      <c r="U27" s="13">
        <f t="shared" si="4"/>
        <v>1</v>
      </c>
      <c r="V27" s="13">
        <f t="shared" si="5"/>
        <v>2480</v>
      </c>
      <c r="W27" s="13">
        <f t="shared" si="6"/>
        <v>2480</v>
      </c>
      <c r="X27" s="13" t="str" cm="1">
        <f t="array" ref="X27">_xlfn.IFS(P27+Q27&gt;Stock!E27,V27,P27+Q27&lt;Stock!E27,"No need",Stock!E27=0,V27,P27+Q27=Stock!E27,"No need")</f>
        <v>No need</v>
      </c>
      <c r="Y27" s="13" t="str" cm="1">
        <f t="array" ref="Y27">_xlfn.IFS(P27+Q27&gt;Stock!E27,W27,P27+Q27&lt;Stock!E27,"No need",Stock!E27=0,W27,P27+Q27=Stock!E27,"No need")</f>
        <v>No need</v>
      </c>
      <c r="Z27" s="13" t="str" cm="1">
        <f t="array" ref="Z27">_xlfn.IFS(ISNUMBER(X27+Y27),X27+Y27,ISTEXT(X27&amp;Y27),"No need")</f>
        <v>No need</v>
      </c>
      <c r="AA27" s="13" t="str" cm="1">
        <f t="array" ref="AA27">_xlfn.IFS(S27*O27&gt;0,S27*O27,S27*O27&lt;0,"No need",S27*O27=0,0)</f>
        <v>No need</v>
      </c>
    </row>
    <row r="28" spans="1:27">
      <c r="A28" s="34">
        <v>26</v>
      </c>
      <c r="B28" s="35">
        <v>9824525980</v>
      </c>
      <c r="C28" s="35" t="s">
        <v>311</v>
      </c>
      <c r="D28" s="34" t="s">
        <v>59</v>
      </c>
      <c r="E28" s="34" t="s">
        <v>60</v>
      </c>
      <c r="F28" s="34" t="s">
        <v>337</v>
      </c>
      <c r="G28" s="34">
        <v>1</v>
      </c>
      <c r="H28" s="34">
        <v>1</v>
      </c>
      <c r="I28" s="34">
        <v>0</v>
      </c>
      <c r="J28" s="34">
        <v>0</v>
      </c>
      <c r="K28" s="36">
        <v>0</v>
      </c>
      <c r="L28" s="36">
        <v>0</v>
      </c>
      <c r="M28" s="36">
        <v>0</v>
      </c>
      <c r="N28" s="36">
        <v>0</v>
      </c>
      <c r="O28" s="13">
        <v>640</v>
      </c>
      <c r="P28" s="12">
        <f t="shared" si="0"/>
        <v>1488</v>
      </c>
      <c r="Q28" s="12">
        <f t="shared" si="1"/>
        <v>0</v>
      </c>
      <c r="R28" s="12">
        <f>(P28+Q28)-Stock!E28</f>
        <v>255</v>
      </c>
      <c r="S28" s="13">
        <f t="shared" si="2"/>
        <v>1</v>
      </c>
      <c r="T28" s="13">
        <f t="shared" si="3"/>
        <v>3</v>
      </c>
      <c r="U28" s="13">
        <f t="shared" si="4"/>
        <v>0</v>
      </c>
      <c r="V28" s="13">
        <f t="shared" si="5"/>
        <v>1920</v>
      </c>
      <c r="W28" s="13">
        <f t="shared" si="6"/>
        <v>0</v>
      </c>
      <c r="X28" s="13" cm="1">
        <f t="array" ref="X28">_xlfn.IFS(P28+Q28&gt;Stock!E28,V28,P28+Q28&lt;Stock!E28,"No need",Stock!E28=0,V28,P28+Q28=Stock!E28,"No need")</f>
        <v>1920</v>
      </c>
      <c r="Y28" s="13" cm="1">
        <f t="array" ref="Y28">_xlfn.IFS(P28+Q28&gt;Stock!E28,W28,P28+Q28&lt;Stock!E28,"No need",Stock!E28=0,W28,P28+Q28=Stock!E28,"No need")</f>
        <v>0</v>
      </c>
      <c r="Z28" s="13" cm="1">
        <f t="array" ref="Z28">_xlfn.IFS(ISNUMBER(X28+Y28),X28+Y28,ISTEXT(X28&amp;Y28),"No need")</f>
        <v>1920</v>
      </c>
      <c r="AA28" s="13" cm="1">
        <f t="array" ref="AA28">_xlfn.IFS(S28*O28&gt;0,S28*O28,S28*O28&lt;0,"No need",S28*O28=0,0)</f>
        <v>640</v>
      </c>
    </row>
    <row r="29" spans="1:27">
      <c r="A29" s="34">
        <v>27</v>
      </c>
      <c r="B29" s="35" t="s">
        <v>61</v>
      </c>
      <c r="C29" s="35" t="s">
        <v>311</v>
      </c>
      <c r="D29" s="34" t="s">
        <v>62</v>
      </c>
      <c r="E29" s="34" t="s">
        <v>63</v>
      </c>
      <c r="F29" s="34" t="s">
        <v>337</v>
      </c>
      <c r="G29" s="34">
        <v>1</v>
      </c>
      <c r="H29" s="34">
        <v>0</v>
      </c>
      <c r="I29" s="34">
        <v>1</v>
      </c>
      <c r="J29" s="34">
        <v>0</v>
      </c>
      <c r="K29" s="36">
        <v>1</v>
      </c>
      <c r="L29" s="36">
        <v>0</v>
      </c>
      <c r="M29" s="36">
        <v>1</v>
      </c>
      <c r="N29" s="36">
        <v>0</v>
      </c>
      <c r="O29" s="13">
        <v>640</v>
      </c>
      <c r="P29" s="12">
        <f t="shared" si="0"/>
        <v>1488</v>
      </c>
      <c r="Q29" s="12">
        <f t="shared" si="1"/>
        <v>2256</v>
      </c>
      <c r="R29" s="12">
        <f>(P29+Q29)-Stock!E29</f>
        <v>652</v>
      </c>
      <c r="S29" s="13">
        <f t="shared" si="2"/>
        <v>2</v>
      </c>
      <c r="T29" s="13">
        <f t="shared" si="3"/>
        <v>3</v>
      </c>
      <c r="U29" s="13">
        <f t="shared" si="4"/>
        <v>4</v>
      </c>
      <c r="V29" s="13">
        <f t="shared" si="5"/>
        <v>1920</v>
      </c>
      <c r="W29" s="13">
        <f t="shared" si="6"/>
        <v>2560</v>
      </c>
      <c r="X29" s="13" cm="1">
        <f t="array" ref="X29">_xlfn.IFS(P29+Q29&gt;Stock!E29,V29,P29+Q29&lt;Stock!E29,"No need",Stock!E29=0,V29,P29+Q29=Stock!E29,"No need")</f>
        <v>1920</v>
      </c>
      <c r="Y29" s="13" cm="1">
        <f t="array" ref="Y29">_xlfn.IFS(P29+Q29&gt;Stock!E29,W29,P29+Q29&lt;Stock!E29,"No need",Stock!E29=0,W29,P29+Q29=Stock!E29,"No need")</f>
        <v>2560</v>
      </c>
      <c r="Z29" s="13" cm="1">
        <f t="array" ref="Z29">_xlfn.IFS(ISNUMBER(X29+Y29),X29+Y29,ISTEXT(X29&amp;Y29),"No need")</f>
        <v>4480</v>
      </c>
      <c r="AA29" s="13" cm="1">
        <f t="array" ref="AA29">_xlfn.IFS(S29*O29&gt;0,S29*O29,S29*O29&lt;0,"No need",S29*O29=0,0)</f>
        <v>1280</v>
      </c>
    </row>
    <row r="30" spans="1:27">
      <c r="A30" s="34">
        <v>28</v>
      </c>
      <c r="B30" s="35">
        <v>9824468880</v>
      </c>
      <c r="C30" s="35" t="s">
        <v>311</v>
      </c>
      <c r="D30" s="34" t="s">
        <v>64</v>
      </c>
      <c r="E30" s="34" t="s">
        <v>65</v>
      </c>
      <c r="F30" s="34" t="s">
        <v>337</v>
      </c>
      <c r="G30" s="34">
        <v>0</v>
      </c>
      <c r="H30" s="34">
        <v>0</v>
      </c>
      <c r="I30" s="34">
        <v>0</v>
      </c>
      <c r="J30" s="34">
        <v>0</v>
      </c>
      <c r="K30" s="36">
        <v>2</v>
      </c>
      <c r="L30" s="36">
        <v>0</v>
      </c>
      <c r="M30" s="36">
        <v>0</v>
      </c>
      <c r="N30" s="36">
        <v>2</v>
      </c>
      <c r="O30" s="13">
        <v>222</v>
      </c>
      <c r="P30" s="12">
        <f t="shared" si="0"/>
        <v>0</v>
      </c>
      <c r="Q30" s="12">
        <f t="shared" si="1"/>
        <v>4512</v>
      </c>
      <c r="R30" s="12">
        <f>(P30+Q30)-Stock!E30</f>
        <v>1236</v>
      </c>
      <c r="S30" s="13">
        <f t="shared" si="2"/>
        <v>6</v>
      </c>
      <c r="T30" s="13">
        <f t="shared" si="3"/>
        <v>0</v>
      </c>
      <c r="U30" s="13">
        <f t="shared" si="4"/>
        <v>21</v>
      </c>
      <c r="V30" s="13">
        <f t="shared" si="5"/>
        <v>0</v>
      </c>
      <c r="W30" s="13">
        <f t="shared" si="6"/>
        <v>4662</v>
      </c>
      <c r="X30" s="13" cm="1">
        <f t="array" ref="X30">_xlfn.IFS(P30+Q30&gt;Stock!E30,V30,P30+Q30&lt;Stock!E30,"No need",Stock!E30=0,V30,P30+Q30=Stock!E30,"No need")</f>
        <v>0</v>
      </c>
      <c r="Y30" s="13" cm="1">
        <f t="array" ref="Y30">_xlfn.IFS(P30+Q30&gt;Stock!E30,W30,P30+Q30&lt;Stock!E30,"No need",Stock!E30=0,W30,P30+Q30=Stock!E30,"No need")</f>
        <v>4662</v>
      </c>
      <c r="Z30" s="13" cm="1">
        <f t="array" ref="Z30">_xlfn.IFS(ISNUMBER(X30+Y30),X30+Y30,ISTEXT(X30&amp;Y30),"No need")</f>
        <v>4662</v>
      </c>
      <c r="AA30" s="13" cm="1">
        <f t="array" ref="AA30">_xlfn.IFS(S30*O30&gt;0,S30*O30,S30*O30&lt;0,"No need",S30*O30=0,0)</f>
        <v>1332</v>
      </c>
    </row>
    <row r="31" spans="1:27">
      <c r="A31" s="34">
        <v>29</v>
      </c>
      <c r="B31" s="35">
        <v>9824456680</v>
      </c>
      <c r="C31" s="35" t="s">
        <v>311</v>
      </c>
      <c r="D31" s="34" t="s">
        <v>66</v>
      </c>
      <c r="E31" s="34" t="s">
        <v>67</v>
      </c>
      <c r="F31" s="34" t="s">
        <v>337</v>
      </c>
      <c r="G31" s="34">
        <v>1</v>
      </c>
      <c r="H31" s="34">
        <v>0</v>
      </c>
      <c r="I31" s="34">
        <v>0</v>
      </c>
      <c r="J31" s="34">
        <v>1</v>
      </c>
      <c r="K31" s="36">
        <v>1</v>
      </c>
      <c r="L31" s="36">
        <v>0</v>
      </c>
      <c r="M31" s="36">
        <v>0</v>
      </c>
      <c r="N31" s="36">
        <v>1</v>
      </c>
      <c r="O31" s="13">
        <v>104</v>
      </c>
      <c r="P31" s="12">
        <f t="shared" si="0"/>
        <v>1488</v>
      </c>
      <c r="Q31" s="12">
        <f t="shared" si="1"/>
        <v>2256</v>
      </c>
      <c r="R31" s="12">
        <f>(P31+Q31)-Stock!E31</f>
        <v>876</v>
      </c>
      <c r="S31" s="13">
        <f t="shared" si="2"/>
        <v>9</v>
      </c>
      <c r="T31" s="13">
        <f t="shared" si="3"/>
        <v>15</v>
      </c>
      <c r="U31" s="13">
        <f t="shared" si="4"/>
        <v>22</v>
      </c>
      <c r="V31" s="13">
        <f t="shared" si="5"/>
        <v>1560</v>
      </c>
      <c r="W31" s="13">
        <f t="shared" si="6"/>
        <v>2288</v>
      </c>
      <c r="X31" s="13" cm="1">
        <f t="array" ref="X31">_xlfn.IFS(P31+Q31&gt;Stock!E31,V31,P31+Q31&lt;Stock!E31,"No need",Stock!E31=0,V31,P31+Q31=Stock!E31,"No need")</f>
        <v>1560</v>
      </c>
      <c r="Y31" s="13" cm="1">
        <f t="array" ref="Y31">_xlfn.IFS(P31+Q31&gt;Stock!E31,W31,P31+Q31&lt;Stock!E31,"No need",Stock!E31=0,W31,P31+Q31=Stock!E31,"No need")</f>
        <v>2288</v>
      </c>
      <c r="Z31" s="13" cm="1">
        <f t="array" ref="Z31">_xlfn.IFS(ISNUMBER(X31+Y31),X31+Y31,ISTEXT(X31&amp;Y31),"No need")</f>
        <v>3848</v>
      </c>
      <c r="AA31" s="13" cm="1">
        <f t="array" ref="AA31">_xlfn.IFS(S31*O31&gt;0,S31*O31,S31*O31&lt;0,"No need",S31*O31=0,0)</f>
        <v>936</v>
      </c>
    </row>
    <row r="32" spans="1:27">
      <c r="A32" s="34">
        <v>30</v>
      </c>
      <c r="B32" s="35">
        <v>9836802180</v>
      </c>
      <c r="C32" s="35" t="s">
        <v>311</v>
      </c>
      <c r="D32" s="34" t="s">
        <v>68</v>
      </c>
      <c r="E32" s="34" t="s">
        <v>69</v>
      </c>
      <c r="F32" s="34" t="s">
        <v>337</v>
      </c>
      <c r="G32" s="34">
        <v>1</v>
      </c>
      <c r="H32" s="34">
        <v>0</v>
      </c>
      <c r="I32" s="34">
        <v>0</v>
      </c>
      <c r="J32" s="34">
        <v>1</v>
      </c>
      <c r="K32" s="36">
        <v>1</v>
      </c>
      <c r="L32" s="36">
        <v>0</v>
      </c>
      <c r="M32" s="36">
        <v>0</v>
      </c>
      <c r="N32" s="36">
        <v>1</v>
      </c>
      <c r="O32" s="13">
        <v>108</v>
      </c>
      <c r="P32" s="12">
        <f t="shared" si="0"/>
        <v>1488</v>
      </c>
      <c r="Q32" s="12">
        <f t="shared" si="1"/>
        <v>2256</v>
      </c>
      <c r="R32" s="12">
        <f>(P32+Q32)-Stock!E32</f>
        <v>861</v>
      </c>
      <c r="S32" s="13">
        <f t="shared" si="2"/>
        <v>8</v>
      </c>
      <c r="T32" s="13">
        <f t="shared" si="3"/>
        <v>14</v>
      </c>
      <c r="U32" s="13">
        <f t="shared" si="4"/>
        <v>21</v>
      </c>
      <c r="V32" s="13">
        <f t="shared" si="5"/>
        <v>1512</v>
      </c>
      <c r="W32" s="13">
        <f t="shared" si="6"/>
        <v>2268</v>
      </c>
      <c r="X32" s="13" cm="1">
        <f t="array" ref="X32">_xlfn.IFS(P32+Q32&gt;Stock!E32,V32,P32+Q32&lt;Stock!E32,"No need",Stock!E32=0,V32,P32+Q32=Stock!E32,"No need")</f>
        <v>1512</v>
      </c>
      <c r="Y32" s="13" cm="1">
        <f t="array" ref="Y32">_xlfn.IFS(P32+Q32&gt;Stock!E32,W32,P32+Q32&lt;Stock!E32,"No need",Stock!E32=0,W32,P32+Q32=Stock!E32,"No need")</f>
        <v>2268</v>
      </c>
      <c r="Z32" s="13" cm="1">
        <f t="array" ref="Z32">_xlfn.IFS(ISNUMBER(X32+Y32),X32+Y32,ISTEXT(X32&amp;Y32),"No need")</f>
        <v>3780</v>
      </c>
      <c r="AA32" s="13" cm="1">
        <f t="array" ref="AA32">_xlfn.IFS(S32*O32&gt;0,S32*O32,S32*O32&lt;0,"No need",S32*O32=0,0)</f>
        <v>864</v>
      </c>
    </row>
    <row r="33" spans="1:27">
      <c r="A33" s="34">
        <v>31</v>
      </c>
      <c r="B33" s="35">
        <v>9836802780</v>
      </c>
      <c r="C33" s="35" t="s">
        <v>311</v>
      </c>
      <c r="D33" s="34" t="s">
        <v>70</v>
      </c>
      <c r="E33" s="34" t="s">
        <v>71</v>
      </c>
      <c r="F33" s="34" t="s">
        <v>337</v>
      </c>
      <c r="G33" s="34">
        <v>1</v>
      </c>
      <c r="H33" s="34">
        <v>0</v>
      </c>
      <c r="I33" s="34">
        <v>0</v>
      </c>
      <c r="J33" s="34">
        <v>1</v>
      </c>
      <c r="K33" s="36">
        <v>1</v>
      </c>
      <c r="L33" s="36">
        <v>0</v>
      </c>
      <c r="M33" s="36">
        <v>0</v>
      </c>
      <c r="N33" s="36">
        <v>1</v>
      </c>
      <c r="O33" s="13">
        <v>108</v>
      </c>
      <c r="P33" s="12">
        <f t="shared" si="0"/>
        <v>1488</v>
      </c>
      <c r="Q33" s="12">
        <f t="shared" si="1"/>
        <v>2256</v>
      </c>
      <c r="R33" s="12">
        <f>(P33+Q33)-Stock!E33</f>
        <v>861</v>
      </c>
      <c r="S33" s="13">
        <f t="shared" si="2"/>
        <v>8</v>
      </c>
      <c r="T33" s="13">
        <f t="shared" si="3"/>
        <v>14</v>
      </c>
      <c r="U33" s="13">
        <f t="shared" si="4"/>
        <v>21</v>
      </c>
      <c r="V33" s="13">
        <f t="shared" si="5"/>
        <v>1512</v>
      </c>
      <c r="W33" s="13">
        <f t="shared" si="6"/>
        <v>2268</v>
      </c>
      <c r="X33" s="13" cm="1">
        <f t="array" ref="X33">_xlfn.IFS(P33+Q33&gt;Stock!E33,V33,P33+Q33&lt;Stock!E33,"No need",Stock!E33=0,V33,P33+Q33=Stock!E33,"No need")</f>
        <v>1512</v>
      </c>
      <c r="Y33" s="13" cm="1">
        <f t="array" ref="Y33">_xlfn.IFS(P33+Q33&gt;Stock!E33,W33,P33+Q33&lt;Stock!E33,"No need",Stock!E33=0,W33,P33+Q33=Stock!E33,"No need")</f>
        <v>2268</v>
      </c>
      <c r="Z33" s="13" cm="1">
        <f t="array" ref="Z33">_xlfn.IFS(ISNUMBER(X33+Y33),X33+Y33,ISTEXT(X33&amp;Y33),"No need")</f>
        <v>3780</v>
      </c>
      <c r="AA33" s="13" cm="1">
        <f t="array" ref="AA33">_xlfn.IFS(S33*O33&gt;0,S33*O33,S33*O33&lt;0,"No need",S33*O33=0,0)</f>
        <v>864</v>
      </c>
    </row>
    <row r="34" spans="1:27">
      <c r="A34" s="34">
        <v>32</v>
      </c>
      <c r="B34" s="35" t="s">
        <v>72</v>
      </c>
      <c r="C34" s="35" t="s">
        <v>311</v>
      </c>
      <c r="D34" s="34" t="s">
        <v>73</v>
      </c>
      <c r="E34" s="34" t="s">
        <v>74</v>
      </c>
      <c r="F34" s="34" t="s">
        <v>337</v>
      </c>
      <c r="G34" s="34">
        <v>0</v>
      </c>
      <c r="H34" s="34">
        <v>0</v>
      </c>
      <c r="I34" s="34">
        <v>0</v>
      </c>
      <c r="J34" s="34">
        <v>0</v>
      </c>
      <c r="K34" s="36">
        <v>1</v>
      </c>
      <c r="L34" s="36">
        <v>1</v>
      </c>
      <c r="M34" s="36">
        <v>0</v>
      </c>
      <c r="N34" s="36">
        <v>0</v>
      </c>
      <c r="O34" s="13">
        <v>100</v>
      </c>
      <c r="P34" s="12">
        <f t="shared" si="0"/>
        <v>0</v>
      </c>
      <c r="Q34" s="12">
        <f t="shared" si="1"/>
        <v>2256</v>
      </c>
      <c r="R34" s="12">
        <f>(P34+Q34)-Stock!E34</f>
        <v>518</v>
      </c>
      <c r="S34" s="13">
        <f t="shared" si="2"/>
        <v>6</v>
      </c>
      <c r="T34" s="13">
        <f t="shared" si="3"/>
        <v>0</v>
      </c>
      <c r="U34" s="13">
        <f t="shared" si="4"/>
        <v>23</v>
      </c>
      <c r="V34" s="13">
        <f t="shared" si="5"/>
        <v>0</v>
      </c>
      <c r="W34" s="13">
        <f t="shared" si="6"/>
        <v>2300</v>
      </c>
      <c r="X34" s="13" cm="1">
        <f t="array" ref="X34">_xlfn.IFS(P34+Q34&gt;Stock!E34,V34,P34+Q34&lt;Stock!E34,"No need",Stock!E34=0,V34,P34+Q34=Stock!E34,"No need")</f>
        <v>0</v>
      </c>
      <c r="Y34" s="13" cm="1">
        <f t="array" ref="Y34">_xlfn.IFS(P34+Q34&gt;Stock!E34,W34,P34+Q34&lt;Stock!E34,"No need",Stock!E34=0,W34,P34+Q34=Stock!E34,"No need")</f>
        <v>2300</v>
      </c>
      <c r="Z34" s="13" cm="1">
        <f t="array" ref="Z34">_xlfn.IFS(ISNUMBER(X34+Y34),X34+Y34,ISTEXT(X34&amp;Y34),"No need")</f>
        <v>2300</v>
      </c>
      <c r="AA34" s="13" cm="1">
        <f t="array" ref="AA34">_xlfn.IFS(S34*O34&gt;0,S34*O34,S34*O34&lt;0,"No need",S34*O34=0,0)</f>
        <v>600</v>
      </c>
    </row>
    <row r="35" spans="1:27">
      <c r="A35" s="34">
        <v>33</v>
      </c>
      <c r="B35" s="35">
        <v>9824488680</v>
      </c>
      <c r="C35" s="35" t="s">
        <v>311</v>
      </c>
      <c r="D35" s="34" t="s">
        <v>75</v>
      </c>
      <c r="E35" s="34" t="s">
        <v>76</v>
      </c>
      <c r="F35" s="34" t="s">
        <v>337</v>
      </c>
      <c r="G35" s="34">
        <v>0</v>
      </c>
      <c r="H35" s="34">
        <v>0</v>
      </c>
      <c r="I35" s="34">
        <v>0</v>
      </c>
      <c r="J35" s="34">
        <v>0</v>
      </c>
      <c r="K35" s="36">
        <v>1</v>
      </c>
      <c r="L35" s="36">
        <v>0</v>
      </c>
      <c r="M35" s="36">
        <v>1</v>
      </c>
      <c r="N35" s="36">
        <v>0</v>
      </c>
      <c r="O35" s="13">
        <v>100</v>
      </c>
      <c r="P35" s="12">
        <f t="shared" si="0"/>
        <v>0</v>
      </c>
      <c r="Q35" s="12">
        <f t="shared" si="1"/>
        <v>2256</v>
      </c>
      <c r="R35" s="12">
        <f>(P35+Q35)-Stock!E35</f>
        <v>511</v>
      </c>
      <c r="S35" s="13">
        <f t="shared" si="2"/>
        <v>6</v>
      </c>
      <c r="T35" s="13">
        <f t="shared" si="3"/>
        <v>0</v>
      </c>
      <c r="U35" s="13">
        <f t="shared" si="4"/>
        <v>23</v>
      </c>
      <c r="V35" s="13">
        <f t="shared" si="5"/>
        <v>0</v>
      </c>
      <c r="W35" s="13">
        <f t="shared" si="6"/>
        <v>2300</v>
      </c>
      <c r="X35" s="13" cm="1">
        <f t="array" ref="X35">_xlfn.IFS(P35+Q35&gt;Stock!E35,V35,P35+Q35&lt;Stock!E35,"No need",Stock!E35=0,V35,P35+Q35=Stock!E35,"No need")</f>
        <v>0</v>
      </c>
      <c r="Y35" s="13" cm="1">
        <f t="array" ref="Y35">_xlfn.IFS(P35+Q35&gt;Stock!E35,W35,P35+Q35&lt;Stock!E35,"No need",Stock!E35=0,W35,P35+Q35=Stock!E35,"No need")</f>
        <v>2300</v>
      </c>
      <c r="Z35" s="13" cm="1">
        <f t="array" ref="Z35">_xlfn.IFS(ISNUMBER(X35+Y35),X35+Y35,ISTEXT(X35&amp;Y35),"No need")</f>
        <v>2300</v>
      </c>
      <c r="AA35" s="13" cm="1">
        <f t="array" ref="AA35">_xlfn.IFS(S35*O35&gt;0,S35*O35,S35*O35&lt;0,"No need",S35*O35=0,0)</f>
        <v>600</v>
      </c>
    </row>
    <row r="36" spans="1:27">
      <c r="A36" s="34">
        <v>34</v>
      </c>
      <c r="B36" s="35">
        <v>9835223780</v>
      </c>
      <c r="C36" s="35" t="s">
        <v>311</v>
      </c>
      <c r="D36" s="34" t="s">
        <v>79</v>
      </c>
      <c r="E36" s="34" t="s">
        <v>80</v>
      </c>
      <c r="F36" s="34" t="s">
        <v>337</v>
      </c>
      <c r="G36" s="34">
        <v>0</v>
      </c>
      <c r="H36" s="34">
        <v>0</v>
      </c>
      <c r="I36" s="34">
        <v>0</v>
      </c>
      <c r="J36" s="34">
        <v>0</v>
      </c>
      <c r="K36" s="36">
        <v>1</v>
      </c>
      <c r="L36" s="36">
        <v>0</v>
      </c>
      <c r="M36" s="36">
        <v>0</v>
      </c>
      <c r="N36" s="36">
        <v>1</v>
      </c>
      <c r="O36" s="13">
        <v>1000</v>
      </c>
      <c r="P36" s="12">
        <f t="shared" si="0"/>
        <v>0</v>
      </c>
      <c r="Q36" s="12">
        <f t="shared" si="1"/>
        <v>2256</v>
      </c>
      <c r="R36" s="12">
        <f>(P36+Q36)-Stock!E36</f>
        <v>123</v>
      </c>
      <c r="S36" s="13">
        <f t="shared" si="2"/>
        <v>1</v>
      </c>
      <c r="T36" s="13">
        <f t="shared" si="3"/>
        <v>0</v>
      </c>
      <c r="U36" s="13">
        <f t="shared" si="4"/>
        <v>3</v>
      </c>
      <c r="V36" s="13">
        <f t="shared" si="5"/>
        <v>0</v>
      </c>
      <c r="W36" s="13">
        <f t="shared" si="6"/>
        <v>3000</v>
      </c>
      <c r="X36" s="13" cm="1">
        <f t="array" ref="X36">_xlfn.IFS(P36+Q36&gt;Stock!E36,V36,P36+Q36&lt;Stock!E36,"No need",Stock!E36=0,V36,P36+Q36=Stock!E36,"No need")</f>
        <v>0</v>
      </c>
      <c r="Y36" s="13" cm="1">
        <f t="array" ref="Y36">_xlfn.IFS(P36+Q36&gt;Stock!E36,W36,P36+Q36&lt;Stock!E36,"No need",Stock!E36=0,W36,P36+Q36=Stock!E36,"No need")</f>
        <v>3000</v>
      </c>
      <c r="Z36" s="13" cm="1">
        <f t="array" ref="Z36">_xlfn.IFS(ISNUMBER(X36+Y36),X36+Y36,ISTEXT(X36&amp;Y36),"No need")</f>
        <v>3000</v>
      </c>
      <c r="AA36" s="13" cm="1">
        <f t="array" ref="AA36">_xlfn.IFS(S36*O36&gt;0,S36*O36,S36*O36&lt;0,"No need",S36*O36=0,0)</f>
        <v>1000</v>
      </c>
    </row>
    <row r="37" spans="1:27">
      <c r="A37" s="34">
        <v>35</v>
      </c>
      <c r="B37" s="35">
        <v>9835223380</v>
      </c>
      <c r="C37" s="35" t="s">
        <v>311</v>
      </c>
      <c r="D37" s="34" t="s">
        <v>81</v>
      </c>
      <c r="E37" s="34" t="s">
        <v>82</v>
      </c>
      <c r="F37" s="34" t="s">
        <v>337</v>
      </c>
      <c r="G37" s="34">
        <v>0</v>
      </c>
      <c r="H37" s="34">
        <v>0</v>
      </c>
      <c r="I37" s="34">
        <v>0</v>
      </c>
      <c r="J37" s="34">
        <v>0</v>
      </c>
      <c r="K37" s="36">
        <v>1</v>
      </c>
      <c r="L37" s="36">
        <v>0</v>
      </c>
      <c r="M37" s="36">
        <v>0</v>
      </c>
      <c r="N37" s="36">
        <v>1</v>
      </c>
      <c r="O37" s="13">
        <v>1000</v>
      </c>
      <c r="P37" s="12">
        <f t="shared" si="0"/>
        <v>0</v>
      </c>
      <c r="Q37" s="12">
        <f t="shared" si="1"/>
        <v>2256</v>
      </c>
      <c r="R37" s="12">
        <f>(P37+Q37)-Stock!E37</f>
        <v>123</v>
      </c>
      <c r="S37" s="13">
        <f t="shared" si="2"/>
        <v>1</v>
      </c>
      <c r="T37" s="13">
        <f t="shared" si="3"/>
        <v>0</v>
      </c>
      <c r="U37" s="13">
        <f t="shared" si="4"/>
        <v>3</v>
      </c>
      <c r="V37" s="13">
        <f t="shared" si="5"/>
        <v>0</v>
      </c>
      <c r="W37" s="13">
        <f t="shared" si="6"/>
        <v>3000</v>
      </c>
      <c r="X37" s="13" cm="1">
        <f t="array" ref="X37">_xlfn.IFS(P37+Q37&gt;Stock!E37,V37,P37+Q37&lt;Stock!E37,"No need",Stock!E37=0,V37,P37+Q37=Stock!E37,"No need")</f>
        <v>0</v>
      </c>
      <c r="Y37" s="13" cm="1">
        <f t="array" ref="Y37">_xlfn.IFS(P37+Q37&gt;Stock!E37,W37,P37+Q37&lt;Stock!E37,"No need",Stock!E37=0,W37,P37+Q37=Stock!E37,"No need")</f>
        <v>3000</v>
      </c>
      <c r="Z37" s="13" cm="1">
        <f t="array" ref="Z37">_xlfn.IFS(ISNUMBER(X37+Y37),X37+Y37,ISTEXT(X37&amp;Y37),"No need")</f>
        <v>3000</v>
      </c>
      <c r="AA37" s="13" cm="1">
        <f t="array" ref="AA37">_xlfn.IFS(S37*O37&gt;0,S37*O37,S37*O37&lt;0,"No need",S37*O37=0,0)</f>
        <v>1000</v>
      </c>
    </row>
    <row r="38" spans="1:27">
      <c r="A38" s="34">
        <v>36</v>
      </c>
      <c r="B38" s="35" t="s">
        <v>83</v>
      </c>
      <c r="C38" s="35" t="s">
        <v>311</v>
      </c>
      <c r="D38" s="34" t="s">
        <v>84</v>
      </c>
      <c r="E38" s="34" t="s">
        <v>85</v>
      </c>
      <c r="F38" s="34" t="s">
        <v>337</v>
      </c>
      <c r="G38" s="34">
        <v>0</v>
      </c>
      <c r="H38" s="34">
        <v>0</v>
      </c>
      <c r="I38" s="34">
        <v>0</v>
      </c>
      <c r="J38" s="34">
        <v>0</v>
      </c>
      <c r="K38" s="36">
        <v>1</v>
      </c>
      <c r="L38" s="36">
        <v>0</v>
      </c>
      <c r="M38" s="36">
        <v>0</v>
      </c>
      <c r="N38" s="36">
        <v>1</v>
      </c>
      <c r="O38" s="13">
        <v>126</v>
      </c>
      <c r="P38" s="12">
        <f t="shared" si="0"/>
        <v>0</v>
      </c>
      <c r="Q38" s="12">
        <f t="shared" si="1"/>
        <v>2256</v>
      </c>
      <c r="R38" s="12">
        <f>(P38+Q38)-Stock!E38</f>
        <v>-2180</v>
      </c>
      <c r="S38" s="13">
        <f t="shared" si="2"/>
        <v>-18</v>
      </c>
      <c r="T38" s="13">
        <f t="shared" si="3"/>
        <v>0</v>
      </c>
      <c r="U38" s="13">
        <f t="shared" si="4"/>
        <v>18</v>
      </c>
      <c r="V38" s="13">
        <f t="shared" si="5"/>
        <v>0</v>
      </c>
      <c r="W38" s="13">
        <f t="shared" si="6"/>
        <v>2268</v>
      </c>
      <c r="X38" s="13" t="str" cm="1">
        <f t="array" ref="X38">_xlfn.IFS(P38+Q38&gt;Stock!E38,V38,P38+Q38&lt;Stock!E38,"No need",Stock!E38=0,V38,P38+Q38=Stock!E38,"No need")</f>
        <v>No need</v>
      </c>
      <c r="Y38" s="13" t="str" cm="1">
        <f t="array" ref="Y38">_xlfn.IFS(P38+Q38&gt;Stock!E38,W38,P38+Q38&lt;Stock!E38,"No need",Stock!E38=0,W38,P38+Q38=Stock!E38,"No need")</f>
        <v>No need</v>
      </c>
      <c r="Z38" s="13" t="str" cm="1">
        <f t="array" ref="Z38">_xlfn.IFS(ISNUMBER(X38+Y38),X38+Y38,ISTEXT(X38&amp;Y38),"No need")</f>
        <v>No need</v>
      </c>
      <c r="AA38" s="13" t="str" cm="1">
        <f t="array" ref="AA38">_xlfn.IFS(S38*O38&gt;0,S38*O38,S38*O38&lt;0,"No need",S38*O38=0,0)</f>
        <v>No need</v>
      </c>
    </row>
    <row r="39" spans="1:27">
      <c r="A39" s="34">
        <v>37</v>
      </c>
      <c r="B39" s="35" t="s">
        <v>83</v>
      </c>
      <c r="C39" s="35" t="s">
        <v>311</v>
      </c>
      <c r="D39" s="34" t="s">
        <v>86</v>
      </c>
      <c r="E39" s="34" t="s">
        <v>87</v>
      </c>
      <c r="F39" s="34" t="s">
        <v>337</v>
      </c>
      <c r="G39" s="34">
        <v>0</v>
      </c>
      <c r="H39" s="34">
        <v>0</v>
      </c>
      <c r="I39" s="34">
        <v>0</v>
      </c>
      <c r="J39" s="34">
        <v>0</v>
      </c>
      <c r="K39" s="36">
        <v>1</v>
      </c>
      <c r="L39" s="36">
        <v>0</v>
      </c>
      <c r="M39" s="36">
        <v>0</v>
      </c>
      <c r="N39" s="36">
        <v>1</v>
      </c>
      <c r="O39" s="13">
        <v>396</v>
      </c>
      <c r="P39" s="12">
        <f t="shared" si="0"/>
        <v>0</v>
      </c>
      <c r="Q39" s="12">
        <f t="shared" si="1"/>
        <v>2256</v>
      </c>
      <c r="R39" s="12">
        <f>(P39+Q39)-Stock!E39</f>
        <v>343</v>
      </c>
      <c r="S39" s="13">
        <f t="shared" si="2"/>
        <v>1</v>
      </c>
      <c r="T39" s="13">
        <f t="shared" si="3"/>
        <v>0</v>
      </c>
      <c r="U39" s="13">
        <f t="shared" si="4"/>
        <v>6</v>
      </c>
      <c r="V39" s="13">
        <f t="shared" si="5"/>
        <v>0</v>
      </c>
      <c r="W39" s="13">
        <f t="shared" si="6"/>
        <v>2376</v>
      </c>
      <c r="X39" s="13" cm="1">
        <f t="array" ref="X39">_xlfn.IFS(P39+Q39&gt;Stock!E39,V39,P39+Q39&lt;Stock!E39,"No need",Stock!E39=0,V39,P39+Q39=Stock!E39,"No need")</f>
        <v>0</v>
      </c>
      <c r="Y39" s="13" cm="1">
        <f t="array" ref="Y39">_xlfn.IFS(P39+Q39&gt;Stock!E39,W39,P39+Q39&lt;Stock!E39,"No need",Stock!E39=0,W39,P39+Q39=Stock!E39,"No need")</f>
        <v>2376</v>
      </c>
      <c r="Z39" s="13" cm="1">
        <f t="array" ref="Z39">_xlfn.IFS(ISNUMBER(X39+Y39),X39+Y39,ISTEXT(X39&amp;Y39),"No need")</f>
        <v>2376</v>
      </c>
      <c r="AA39" s="13" cm="1">
        <f t="array" ref="AA39">_xlfn.IFS(S39*O39&gt;0,S39*O39,S39*O39&lt;0,"No need",S39*O39=0,0)</f>
        <v>396</v>
      </c>
    </row>
    <row r="40" spans="1:27">
      <c r="A40" s="34">
        <v>38</v>
      </c>
      <c r="B40" s="35" t="s">
        <v>83</v>
      </c>
      <c r="C40" s="35" t="s">
        <v>311</v>
      </c>
      <c r="D40" s="34" t="s">
        <v>88</v>
      </c>
      <c r="E40" s="34" t="s">
        <v>89</v>
      </c>
      <c r="F40" s="34" t="s">
        <v>337</v>
      </c>
      <c r="G40" s="34">
        <v>0</v>
      </c>
      <c r="H40" s="34">
        <v>0</v>
      </c>
      <c r="I40" s="34">
        <v>0</v>
      </c>
      <c r="J40" s="34">
        <v>0</v>
      </c>
      <c r="K40" s="36">
        <v>1</v>
      </c>
      <c r="L40" s="36">
        <v>0</v>
      </c>
      <c r="M40" s="36">
        <v>0</v>
      </c>
      <c r="N40" s="36">
        <v>1</v>
      </c>
      <c r="O40" s="13">
        <v>218</v>
      </c>
      <c r="P40" s="12">
        <f t="shared" si="0"/>
        <v>0</v>
      </c>
      <c r="Q40" s="12">
        <f t="shared" si="1"/>
        <v>2256</v>
      </c>
      <c r="R40" s="12">
        <f>(P40+Q40)-Stock!E40</f>
        <v>361</v>
      </c>
      <c r="S40" s="13">
        <f t="shared" si="2"/>
        <v>2</v>
      </c>
      <c r="T40" s="13">
        <f t="shared" si="3"/>
        <v>0</v>
      </c>
      <c r="U40" s="13">
        <f t="shared" si="4"/>
        <v>11</v>
      </c>
      <c r="V40" s="13">
        <f t="shared" si="5"/>
        <v>0</v>
      </c>
      <c r="W40" s="13">
        <f t="shared" si="6"/>
        <v>2398</v>
      </c>
      <c r="X40" s="13" cm="1">
        <f t="array" ref="X40">_xlfn.IFS(P40+Q40&gt;Stock!E40,V40,P40+Q40&lt;Stock!E40,"No need",Stock!E40=0,V40,P40+Q40=Stock!E40,"No need")</f>
        <v>0</v>
      </c>
      <c r="Y40" s="13" cm="1">
        <f t="array" ref="Y40">_xlfn.IFS(P40+Q40&gt;Stock!E40,W40,P40+Q40&lt;Stock!E40,"No need",Stock!E40=0,W40,P40+Q40=Stock!E40,"No need")</f>
        <v>2398</v>
      </c>
      <c r="Z40" s="13" cm="1">
        <f t="array" ref="Z40">_xlfn.IFS(ISNUMBER(X40+Y40),X40+Y40,ISTEXT(X40&amp;Y40),"No need")</f>
        <v>2398</v>
      </c>
      <c r="AA40" s="13" cm="1">
        <f t="array" ref="AA40">_xlfn.IFS(S40*O40&gt;0,S40*O40,S40*O40&lt;0,"No need",S40*O40=0,0)</f>
        <v>436</v>
      </c>
    </row>
    <row r="41" spans="1:27">
      <c r="A41" s="34">
        <v>39</v>
      </c>
      <c r="B41" s="35">
        <v>9862718380</v>
      </c>
      <c r="C41" s="35" t="s">
        <v>311</v>
      </c>
      <c r="D41" s="34" t="s">
        <v>90</v>
      </c>
      <c r="E41" s="34" t="s">
        <v>91</v>
      </c>
      <c r="F41" s="34" t="s">
        <v>337</v>
      </c>
      <c r="G41" s="34">
        <v>0</v>
      </c>
      <c r="H41" s="34">
        <v>0</v>
      </c>
      <c r="I41" s="34">
        <v>0</v>
      </c>
      <c r="J41" s="34">
        <v>0</v>
      </c>
      <c r="K41" s="36">
        <v>2</v>
      </c>
      <c r="L41" s="36">
        <v>1</v>
      </c>
      <c r="M41" s="36">
        <v>1</v>
      </c>
      <c r="N41" s="36">
        <v>0</v>
      </c>
      <c r="O41" s="13">
        <v>57</v>
      </c>
      <c r="P41" s="12">
        <f t="shared" si="0"/>
        <v>0</v>
      </c>
      <c r="Q41" s="12">
        <f t="shared" si="1"/>
        <v>4512</v>
      </c>
      <c r="R41" s="12">
        <f>(P41+Q41)-Stock!E41</f>
        <v>1104</v>
      </c>
      <c r="S41" s="13">
        <f t="shared" si="2"/>
        <v>20</v>
      </c>
      <c r="T41" s="13">
        <f t="shared" si="3"/>
        <v>0</v>
      </c>
      <c r="U41" s="13">
        <f t="shared" si="4"/>
        <v>80</v>
      </c>
      <c r="V41" s="13">
        <f t="shared" si="5"/>
        <v>0</v>
      </c>
      <c r="W41" s="13">
        <f t="shared" si="6"/>
        <v>4560</v>
      </c>
      <c r="X41" s="13" cm="1">
        <f t="array" ref="X41">_xlfn.IFS(P41+Q41&gt;Stock!E41,V41,P41+Q41&lt;Stock!E41,"No need",Stock!E41=0,V41,P41+Q41=Stock!E41,"No need")</f>
        <v>0</v>
      </c>
      <c r="Y41" s="13" cm="1">
        <f t="array" ref="Y41">_xlfn.IFS(P41+Q41&gt;Stock!E41,W41,P41+Q41&lt;Stock!E41,"No need",Stock!E41=0,W41,P41+Q41=Stock!E41,"No need")</f>
        <v>4560</v>
      </c>
      <c r="Z41" s="13" cm="1">
        <f t="array" ref="Z41">_xlfn.IFS(ISNUMBER(X41+Y41),X41+Y41,ISTEXT(X41&amp;Y41),"No need")</f>
        <v>4560</v>
      </c>
      <c r="AA41" s="13" cm="1">
        <f t="array" ref="AA41">_xlfn.IFS(S41*O41&gt;0,S41*O41,S41*O41&lt;0,"No need",S41*O41=0,0)</f>
        <v>1140</v>
      </c>
    </row>
    <row r="42" spans="1:27">
      <c r="A42" s="34">
        <v>40</v>
      </c>
      <c r="B42" s="35" t="s">
        <v>92</v>
      </c>
      <c r="C42" s="35" t="s">
        <v>311</v>
      </c>
      <c r="D42" s="34" t="s">
        <v>93</v>
      </c>
      <c r="E42" s="34" t="s">
        <v>94</v>
      </c>
      <c r="F42" s="34" t="s">
        <v>337</v>
      </c>
      <c r="G42" s="34">
        <v>0</v>
      </c>
      <c r="H42" s="34">
        <v>0</v>
      </c>
      <c r="I42" s="34">
        <v>0</v>
      </c>
      <c r="J42" s="34">
        <v>0</v>
      </c>
      <c r="K42" s="36">
        <v>1</v>
      </c>
      <c r="L42" s="36">
        <v>0</v>
      </c>
      <c r="M42" s="36">
        <v>0</v>
      </c>
      <c r="N42" s="36">
        <v>1</v>
      </c>
      <c r="O42" s="13">
        <v>160</v>
      </c>
      <c r="P42" s="12">
        <f t="shared" si="0"/>
        <v>0</v>
      </c>
      <c r="Q42" s="12">
        <f t="shared" si="1"/>
        <v>2256</v>
      </c>
      <c r="R42" s="12">
        <f>(P42+Q42)-Stock!E42</f>
        <v>557</v>
      </c>
      <c r="S42" s="13">
        <f t="shared" si="2"/>
        <v>4</v>
      </c>
      <c r="T42" s="13">
        <f t="shared" si="3"/>
        <v>0</v>
      </c>
      <c r="U42" s="13">
        <f t="shared" si="4"/>
        <v>15</v>
      </c>
      <c r="V42" s="13">
        <f t="shared" si="5"/>
        <v>0</v>
      </c>
      <c r="W42" s="13">
        <f t="shared" si="6"/>
        <v>2400</v>
      </c>
      <c r="X42" s="13" cm="1">
        <f t="array" ref="X42">_xlfn.IFS(P42+Q42&gt;Stock!E42,V42,P42+Q42&lt;Stock!E42,"No need",Stock!E42=0,V42,P42+Q42=Stock!E42,"No need")</f>
        <v>0</v>
      </c>
      <c r="Y42" s="13" cm="1">
        <f t="array" ref="Y42">_xlfn.IFS(P42+Q42&gt;Stock!E42,W42,P42+Q42&lt;Stock!E42,"No need",Stock!E42=0,W42,P42+Q42=Stock!E42,"No need")</f>
        <v>2400</v>
      </c>
      <c r="Z42" s="13" cm="1">
        <f t="array" ref="Z42">_xlfn.IFS(ISNUMBER(X42+Y42),X42+Y42,ISTEXT(X42&amp;Y42),"No need")</f>
        <v>2400</v>
      </c>
      <c r="AA42" s="13" cm="1">
        <f t="array" ref="AA42">_xlfn.IFS(S42*O42&gt;0,S42*O42,S42*O42&lt;0,"No need",S42*O42=0,0)</f>
        <v>640</v>
      </c>
    </row>
    <row r="43" spans="1:27">
      <c r="A43" s="34">
        <v>41</v>
      </c>
      <c r="B43" s="35" t="s">
        <v>95</v>
      </c>
      <c r="C43" s="35" t="s">
        <v>311</v>
      </c>
      <c r="D43" s="34" t="s">
        <v>96</v>
      </c>
      <c r="E43" s="34" t="s">
        <v>97</v>
      </c>
      <c r="F43" s="34" t="s">
        <v>337</v>
      </c>
      <c r="G43" s="34">
        <v>0</v>
      </c>
      <c r="H43" s="34">
        <v>0</v>
      </c>
      <c r="I43" s="34">
        <v>0</v>
      </c>
      <c r="J43" s="34">
        <v>0</v>
      </c>
      <c r="K43" s="36">
        <v>2</v>
      </c>
      <c r="L43" s="36">
        <v>0</v>
      </c>
      <c r="M43" s="36">
        <v>0</v>
      </c>
      <c r="N43" s="36">
        <v>2</v>
      </c>
      <c r="O43" s="13">
        <v>100</v>
      </c>
      <c r="P43" s="12">
        <f t="shared" si="0"/>
        <v>0</v>
      </c>
      <c r="Q43" s="12">
        <f t="shared" si="1"/>
        <v>4512</v>
      </c>
      <c r="R43" s="12">
        <f>(P43+Q43)-Stock!E43</f>
        <v>1152</v>
      </c>
      <c r="S43" s="13">
        <f t="shared" si="2"/>
        <v>12</v>
      </c>
      <c r="T43" s="13">
        <f t="shared" si="3"/>
        <v>0</v>
      </c>
      <c r="U43" s="13">
        <f t="shared" si="4"/>
        <v>46</v>
      </c>
      <c r="V43" s="13">
        <f t="shared" si="5"/>
        <v>0</v>
      </c>
      <c r="W43" s="13">
        <f t="shared" si="6"/>
        <v>4600</v>
      </c>
      <c r="X43" s="13" cm="1">
        <f t="array" ref="X43">_xlfn.IFS(P43+Q43&gt;Stock!E43,V43,P43+Q43&lt;Stock!E43,"No need",Stock!E43=0,V43,P43+Q43=Stock!E43,"No need")</f>
        <v>0</v>
      </c>
      <c r="Y43" s="13" cm="1">
        <f t="array" ref="Y43">_xlfn.IFS(P43+Q43&gt;Stock!E43,W43,P43+Q43&lt;Stock!E43,"No need",Stock!E43=0,W43,P43+Q43=Stock!E43,"No need")</f>
        <v>4600</v>
      </c>
      <c r="Z43" s="13" cm="1">
        <f t="array" ref="Z43">_xlfn.IFS(ISNUMBER(X43+Y43),X43+Y43,ISTEXT(X43&amp;Y43),"No need")</f>
        <v>4600</v>
      </c>
      <c r="AA43" s="13" cm="1">
        <f t="array" ref="AA43">_xlfn.IFS(S43*O43&gt;0,S43*O43,S43*O43&lt;0,"No need",S43*O43=0,0)</f>
        <v>1200</v>
      </c>
    </row>
    <row r="44" spans="1:27">
      <c r="A44" s="34">
        <v>42</v>
      </c>
      <c r="B44" s="35" t="s">
        <v>98</v>
      </c>
      <c r="C44" s="35" t="s">
        <v>311</v>
      </c>
      <c r="D44" s="34" t="s">
        <v>99</v>
      </c>
      <c r="E44" s="34" t="s">
        <v>100</v>
      </c>
      <c r="F44" s="34" t="s">
        <v>337</v>
      </c>
      <c r="G44" s="34">
        <v>0</v>
      </c>
      <c r="H44" s="34">
        <v>0</v>
      </c>
      <c r="I44" s="34">
        <v>0</v>
      </c>
      <c r="J44" s="34">
        <v>0</v>
      </c>
      <c r="K44" s="36">
        <v>1</v>
      </c>
      <c r="L44" s="36">
        <v>0</v>
      </c>
      <c r="M44" s="36">
        <v>0</v>
      </c>
      <c r="N44" s="36">
        <v>1</v>
      </c>
      <c r="O44" s="13">
        <v>96</v>
      </c>
      <c r="P44" s="12">
        <f t="shared" si="0"/>
        <v>0</v>
      </c>
      <c r="Q44" s="12">
        <f t="shared" si="1"/>
        <v>2256</v>
      </c>
      <c r="R44" s="12">
        <f>(P44+Q44)-Stock!E44</f>
        <v>488</v>
      </c>
      <c r="S44" s="13">
        <f t="shared" si="2"/>
        <v>6</v>
      </c>
      <c r="T44" s="13">
        <f t="shared" si="3"/>
        <v>0</v>
      </c>
      <c r="U44" s="13">
        <f t="shared" si="4"/>
        <v>24</v>
      </c>
      <c r="V44" s="13">
        <f t="shared" si="5"/>
        <v>0</v>
      </c>
      <c r="W44" s="13">
        <f t="shared" si="6"/>
        <v>2304</v>
      </c>
      <c r="X44" s="13" cm="1">
        <f t="array" ref="X44">_xlfn.IFS(P44+Q44&gt;Stock!E44,V44,P44+Q44&lt;Stock!E44,"No need",Stock!E44=0,V44,P44+Q44=Stock!E44,"No need")</f>
        <v>0</v>
      </c>
      <c r="Y44" s="13" cm="1">
        <f t="array" ref="Y44">_xlfn.IFS(P44+Q44&gt;Stock!E44,W44,P44+Q44&lt;Stock!E44,"No need",Stock!E44=0,W44,P44+Q44=Stock!E44,"No need")</f>
        <v>2304</v>
      </c>
      <c r="Z44" s="13" cm="1">
        <f t="array" ref="Z44">_xlfn.IFS(ISNUMBER(X44+Y44),X44+Y44,ISTEXT(X44&amp;Y44),"No need")</f>
        <v>2304</v>
      </c>
      <c r="AA44" s="13" cm="1">
        <f t="array" ref="AA44">_xlfn.IFS(S44*O44&gt;0,S44*O44,S44*O44&lt;0,"No need",S44*O44=0,0)</f>
        <v>576</v>
      </c>
    </row>
    <row r="45" spans="1:27">
      <c r="A45" s="34">
        <v>43</v>
      </c>
      <c r="B45" s="35">
        <v>9862718180</v>
      </c>
      <c r="C45" s="35" t="s">
        <v>311</v>
      </c>
      <c r="D45" s="34" t="s">
        <v>101</v>
      </c>
      <c r="E45" s="34" t="s">
        <v>102</v>
      </c>
      <c r="F45" s="34" t="s">
        <v>337</v>
      </c>
      <c r="G45" s="34">
        <v>2</v>
      </c>
      <c r="H45" s="34">
        <v>1</v>
      </c>
      <c r="I45" s="34">
        <v>1</v>
      </c>
      <c r="J45" s="34">
        <v>0</v>
      </c>
      <c r="K45" s="36">
        <v>0</v>
      </c>
      <c r="L45" s="36">
        <v>0</v>
      </c>
      <c r="M45" s="36">
        <v>0</v>
      </c>
      <c r="N45" s="36">
        <v>0</v>
      </c>
      <c r="O45" s="13">
        <v>57</v>
      </c>
      <c r="P45" s="12">
        <f t="shared" si="0"/>
        <v>2976</v>
      </c>
      <c r="Q45" s="12">
        <f t="shared" si="1"/>
        <v>0</v>
      </c>
      <c r="R45" s="12">
        <f>(P45+Q45)-Stock!E45</f>
        <v>652</v>
      </c>
      <c r="S45" s="13">
        <f t="shared" si="2"/>
        <v>12</v>
      </c>
      <c r="T45" s="13">
        <f t="shared" si="3"/>
        <v>53</v>
      </c>
      <c r="U45" s="13">
        <f t="shared" si="4"/>
        <v>0</v>
      </c>
      <c r="V45" s="13">
        <f t="shared" si="5"/>
        <v>3021</v>
      </c>
      <c r="W45" s="13">
        <f t="shared" si="6"/>
        <v>0</v>
      </c>
      <c r="X45" s="13" cm="1">
        <f t="array" ref="X45">_xlfn.IFS(P45+Q45&gt;Stock!E45,V45,P45+Q45&lt;Stock!E45,"No need",Stock!E45=0,V45,P45+Q45=Stock!E45,"No need")</f>
        <v>3021</v>
      </c>
      <c r="Y45" s="13" cm="1">
        <f t="array" ref="Y45">_xlfn.IFS(P45+Q45&gt;Stock!E45,W45,P45+Q45&lt;Stock!E45,"No need",Stock!E45=0,W45,P45+Q45=Stock!E45,"No need")</f>
        <v>0</v>
      </c>
      <c r="Z45" s="13" cm="1">
        <f t="array" ref="Z45">_xlfn.IFS(ISNUMBER(X45+Y45),X45+Y45,ISTEXT(X45&amp;Y45),"No need")</f>
        <v>3021</v>
      </c>
      <c r="AA45" s="13" cm="1">
        <f t="array" ref="AA45">_xlfn.IFS(S45*O45&gt;0,S45*O45,S45*O45&lt;0,"No need",S45*O45=0,0)</f>
        <v>684</v>
      </c>
    </row>
    <row r="46" spans="1:27">
      <c r="A46" s="34">
        <v>44</v>
      </c>
      <c r="B46" s="35" t="s">
        <v>103</v>
      </c>
      <c r="C46" s="35" t="s">
        <v>311</v>
      </c>
      <c r="D46" s="34" t="s">
        <v>104</v>
      </c>
      <c r="E46" s="34" t="s">
        <v>105</v>
      </c>
      <c r="F46" s="34" t="s">
        <v>337</v>
      </c>
      <c r="G46" s="34">
        <v>1</v>
      </c>
      <c r="H46" s="34">
        <v>0</v>
      </c>
      <c r="I46" s="34">
        <v>0</v>
      </c>
      <c r="J46" s="34">
        <v>1</v>
      </c>
      <c r="K46" s="36">
        <v>0</v>
      </c>
      <c r="L46" s="36">
        <v>0</v>
      </c>
      <c r="M46" s="36">
        <v>0</v>
      </c>
      <c r="N46" s="36">
        <v>0</v>
      </c>
      <c r="O46" s="13">
        <v>160</v>
      </c>
      <c r="P46" s="12">
        <f t="shared" si="0"/>
        <v>1488</v>
      </c>
      <c r="Q46" s="12">
        <f t="shared" si="1"/>
        <v>0</v>
      </c>
      <c r="R46" s="12">
        <f>(P46+Q46)-Stock!E46</f>
        <v>268</v>
      </c>
      <c r="S46" s="13">
        <f t="shared" si="2"/>
        <v>2</v>
      </c>
      <c r="T46" s="13">
        <f t="shared" si="3"/>
        <v>10</v>
      </c>
      <c r="U46" s="13">
        <f t="shared" si="4"/>
        <v>0</v>
      </c>
      <c r="V46" s="13">
        <f t="shared" si="5"/>
        <v>1600</v>
      </c>
      <c r="W46" s="13">
        <f t="shared" si="6"/>
        <v>0</v>
      </c>
      <c r="X46" s="13" cm="1">
        <f t="array" ref="X46">_xlfn.IFS(P46+Q46&gt;Stock!E46,V46,P46+Q46&lt;Stock!E46,"No need",Stock!E46=0,V46,P46+Q46=Stock!E46,"No need")</f>
        <v>1600</v>
      </c>
      <c r="Y46" s="13" cm="1">
        <f t="array" ref="Y46">_xlfn.IFS(P46+Q46&gt;Stock!E46,W46,P46+Q46&lt;Stock!E46,"No need",Stock!E46=0,W46,P46+Q46=Stock!E46,"No need")</f>
        <v>0</v>
      </c>
      <c r="Z46" s="13" cm="1">
        <f t="array" ref="Z46">_xlfn.IFS(ISNUMBER(X46+Y46),X46+Y46,ISTEXT(X46&amp;Y46),"No need")</f>
        <v>1600</v>
      </c>
      <c r="AA46" s="13" cm="1">
        <f t="array" ref="AA46">_xlfn.IFS(S46*O46&gt;0,S46*O46,S46*O46&lt;0,"No need",S46*O46=0,0)</f>
        <v>320</v>
      </c>
    </row>
    <row r="47" spans="1:27">
      <c r="A47" s="34">
        <v>45</v>
      </c>
      <c r="B47" s="35" t="s">
        <v>106</v>
      </c>
      <c r="C47" s="35" t="s">
        <v>311</v>
      </c>
      <c r="D47" s="34" t="s">
        <v>107</v>
      </c>
      <c r="E47" s="34" t="s">
        <v>108</v>
      </c>
      <c r="F47" s="34" t="s">
        <v>337</v>
      </c>
      <c r="G47" s="34">
        <v>2</v>
      </c>
      <c r="H47" s="34">
        <v>0</v>
      </c>
      <c r="I47" s="34">
        <v>0</v>
      </c>
      <c r="J47" s="34">
        <v>2</v>
      </c>
      <c r="K47" s="36">
        <v>0</v>
      </c>
      <c r="L47" s="36">
        <v>0</v>
      </c>
      <c r="M47" s="36">
        <v>0</v>
      </c>
      <c r="N47" s="36">
        <v>0</v>
      </c>
      <c r="O47" s="13">
        <v>100</v>
      </c>
      <c r="P47" s="12">
        <f t="shared" si="0"/>
        <v>2976</v>
      </c>
      <c r="Q47" s="12">
        <f t="shared" si="1"/>
        <v>0</v>
      </c>
      <c r="R47" s="12">
        <f>(P47+Q47)-Stock!E47</f>
        <v>583</v>
      </c>
      <c r="S47" s="13">
        <f t="shared" si="2"/>
        <v>6</v>
      </c>
      <c r="T47" s="13">
        <f t="shared" si="3"/>
        <v>30</v>
      </c>
      <c r="U47" s="13">
        <f t="shared" si="4"/>
        <v>0</v>
      </c>
      <c r="V47" s="13">
        <f t="shared" si="5"/>
        <v>3000</v>
      </c>
      <c r="W47" s="13">
        <f t="shared" si="6"/>
        <v>0</v>
      </c>
      <c r="X47" s="13" cm="1">
        <f t="array" ref="X47">_xlfn.IFS(P47+Q47&gt;Stock!E47,V47,P47+Q47&lt;Stock!E47,"No need",Stock!E47=0,V47,P47+Q47=Stock!E47,"No need")</f>
        <v>3000</v>
      </c>
      <c r="Y47" s="13" cm="1">
        <f t="array" ref="Y47">_xlfn.IFS(P47+Q47&gt;Stock!E47,W47,P47+Q47&lt;Stock!E47,"No need",Stock!E47=0,W47,P47+Q47=Stock!E47,"No need")</f>
        <v>0</v>
      </c>
      <c r="Z47" s="13" cm="1">
        <f t="array" ref="Z47">_xlfn.IFS(ISNUMBER(X47+Y47),X47+Y47,ISTEXT(X47&amp;Y47),"No need")</f>
        <v>3000</v>
      </c>
      <c r="AA47" s="13" cm="1">
        <f t="array" ref="AA47">_xlfn.IFS(S47*O47&gt;0,S47*O47,S47*O47&lt;0,"No need",S47*O47=0,0)</f>
        <v>600</v>
      </c>
    </row>
    <row r="48" spans="1:27">
      <c r="A48" s="34">
        <v>46</v>
      </c>
      <c r="B48" s="35">
        <v>9830741180</v>
      </c>
      <c r="C48" s="35" t="s">
        <v>311</v>
      </c>
      <c r="D48" s="34" t="s">
        <v>109</v>
      </c>
      <c r="E48" s="34" t="s">
        <v>110</v>
      </c>
      <c r="F48" s="34" t="s">
        <v>337</v>
      </c>
      <c r="G48" s="34">
        <v>0</v>
      </c>
      <c r="H48" s="34">
        <v>0</v>
      </c>
      <c r="I48" s="34">
        <v>0</v>
      </c>
      <c r="J48" s="34">
        <v>0</v>
      </c>
      <c r="K48" s="36">
        <v>1</v>
      </c>
      <c r="L48" s="36">
        <v>0</v>
      </c>
      <c r="M48" s="36">
        <v>1</v>
      </c>
      <c r="N48" s="36">
        <v>0</v>
      </c>
      <c r="O48" s="13">
        <v>160</v>
      </c>
      <c r="P48" s="12">
        <f t="shared" si="0"/>
        <v>0</v>
      </c>
      <c r="Q48" s="12">
        <f t="shared" si="1"/>
        <v>2256</v>
      </c>
      <c r="R48" s="12">
        <f>(P48+Q48)-Stock!E48</f>
        <v>555</v>
      </c>
      <c r="S48" s="13">
        <f t="shared" si="2"/>
        <v>4</v>
      </c>
      <c r="T48" s="13">
        <f t="shared" si="3"/>
        <v>0</v>
      </c>
      <c r="U48" s="13">
        <f t="shared" si="4"/>
        <v>15</v>
      </c>
      <c r="V48" s="13">
        <f t="shared" si="5"/>
        <v>0</v>
      </c>
      <c r="W48" s="13">
        <f t="shared" si="6"/>
        <v>2400</v>
      </c>
      <c r="X48" s="13" cm="1">
        <f t="array" ref="X48">_xlfn.IFS(P48+Q48&gt;Stock!E48,V48,P48+Q48&lt;Stock!E48,"No need",Stock!E48=0,V48,P48+Q48=Stock!E48,"No need")</f>
        <v>0</v>
      </c>
      <c r="Y48" s="13" cm="1">
        <f t="array" ref="Y48">_xlfn.IFS(P48+Q48&gt;Stock!E48,W48,P48+Q48&lt;Stock!E48,"No need",Stock!E48=0,W48,P48+Q48=Stock!E48,"No need")</f>
        <v>2400</v>
      </c>
      <c r="Z48" s="13" cm="1">
        <f t="array" ref="Z48">_xlfn.IFS(ISNUMBER(X48+Y48),X48+Y48,ISTEXT(X48&amp;Y48),"No need")</f>
        <v>2400</v>
      </c>
      <c r="AA48" s="13" cm="1">
        <f t="array" ref="AA48">_xlfn.IFS(S48*O48&gt;0,S48*O48,S48*O48&lt;0,"No need",S48*O48=0,0)</f>
        <v>640</v>
      </c>
    </row>
    <row r="49" spans="1:27">
      <c r="A49" s="34">
        <v>47</v>
      </c>
      <c r="B49" s="35">
        <v>9834884080</v>
      </c>
      <c r="C49" s="35" t="s">
        <v>311</v>
      </c>
      <c r="D49" s="34" t="s">
        <v>111</v>
      </c>
      <c r="E49" s="34" t="s">
        <v>112</v>
      </c>
      <c r="F49" s="34" t="s">
        <v>337</v>
      </c>
      <c r="G49" s="34">
        <v>0</v>
      </c>
      <c r="H49" s="34">
        <v>0</v>
      </c>
      <c r="I49" s="34">
        <v>0</v>
      </c>
      <c r="J49" s="34">
        <v>0</v>
      </c>
      <c r="K49" s="36">
        <v>1</v>
      </c>
      <c r="L49" s="36">
        <v>1</v>
      </c>
      <c r="M49" s="36">
        <v>0</v>
      </c>
      <c r="N49" s="36">
        <v>0</v>
      </c>
      <c r="O49" s="13">
        <v>160</v>
      </c>
      <c r="P49" s="12">
        <f t="shared" si="0"/>
        <v>0</v>
      </c>
      <c r="Q49" s="12">
        <f t="shared" si="1"/>
        <v>2256</v>
      </c>
      <c r="R49" s="12">
        <f>(P49+Q49)-Stock!E49</f>
        <v>557</v>
      </c>
      <c r="S49" s="13">
        <f t="shared" si="2"/>
        <v>4</v>
      </c>
      <c r="T49" s="13">
        <f t="shared" si="3"/>
        <v>0</v>
      </c>
      <c r="U49" s="13">
        <f t="shared" si="4"/>
        <v>15</v>
      </c>
      <c r="V49" s="13">
        <f t="shared" si="5"/>
        <v>0</v>
      </c>
      <c r="W49" s="13">
        <f t="shared" si="6"/>
        <v>2400</v>
      </c>
      <c r="X49" s="13" cm="1">
        <f t="array" ref="X49">_xlfn.IFS(P49+Q49&gt;Stock!E49,V49,P49+Q49&lt;Stock!E49,"No need",Stock!E49=0,V49,P49+Q49=Stock!E49,"No need")</f>
        <v>0</v>
      </c>
      <c r="Y49" s="13" cm="1">
        <f t="array" ref="Y49">_xlfn.IFS(P49+Q49&gt;Stock!E49,W49,P49+Q49&lt;Stock!E49,"No need",Stock!E49=0,W49,P49+Q49=Stock!E49,"No need")</f>
        <v>2400</v>
      </c>
      <c r="Z49" s="13" cm="1">
        <f t="array" ref="Z49">_xlfn.IFS(ISNUMBER(X49+Y49),X49+Y49,ISTEXT(X49&amp;Y49),"No need")</f>
        <v>2400</v>
      </c>
      <c r="AA49" s="13" cm="1">
        <f t="array" ref="AA49">_xlfn.IFS(S49*O49&gt;0,S49*O49,S49*O49&lt;0,"No need",S49*O49=0,0)</f>
        <v>640</v>
      </c>
    </row>
    <row r="50" spans="1:27">
      <c r="A50" s="34">
        <v>48</v>
      </c>
      <c r="B50" s="35">
        <v>9834520980</v>
      </c>
      <c r="C50" s="35" t="s">
        <v>311</v>
      </c>
      <c r="D50" s="34" t="s">
        <v>113</v>
      </c>
      <c r="E50" s="34" t="s">
        <v>114</v>
      </c>
      <c r="F50" s="34" t="s">
        <v>337</v>
      </c>
      <c r="G50" s="34">
        <v>1</v>
      </c>
      <c r="H50" s="34">
        <v>1</v>
      </c>
      <c r="I50" s="34">
        <v>0</v>
      </c>
      <c r="J50" s="34">
        <v>0</v>
      </c>
      <c r="K50" s="36">
        <v>0</v>
      </c>
      <c r="L50" s="36">
        <v>0</v>
      </c>
      <c r="M50" s="36">
        <v>0</v>
      </c>
      <c r="N50" s="36">
        <v>0</v>
      </c>
      <c r="O50" s="13">
        <v>400</v>
      </c>
      <c r="P50" s="12">
        <f t="shared" si="0"/>
        <v>1488</v>
      </c>
      <c r="Q50" s="12">
        <f t="shared" si="1"/>
        <v>0</v>
      </c>
      <c r="R50" s="12">
        <f>(P50+Q50)-Stock!E50</f>
        <v>-57</v>
      </c>
      <c r="S50" s="13">
        <f t="shared" si="2"/>
        <v>-1</v>
      </c>
      <c r="T50" s="13">
        <f t="shared" si="3"/>
        <v>4</v>
      </c>
      <c r="U50" s="13">
        <f t="shared" si="4"/>
        <v>0</v>
      </c>
      <c r="V50" s="13">
        <f t="shared" si="5"/>
        <v>1600</v>
      </c>
      <c r="W50" s="13">
        <f t="shared" si="6"/>
        <v>0</v>
      </c>
      <c r="X50" s="13" t="str" cm="1">
        <f t="array" ref="X50">_xlfn.IFS(P50+Q50&gt;Stock!E50,V50,P50+Q50&lt;Stock!E50,"No need",Stock!E50=0,V50,P50+Q50=Stock!E50,"No need")</f>
        <v>No need</v>
      </c>
      <c r="Y50" s="13" t="str" cm="1">
        <f t="array" ref="Y50">_xlfn.IFS(P50+Q50&gt;Stock!E50,W50,P50+Q50&lt;Stock!E50,"No need",Stock!E50=0,W50,P50+Q50=Stock!E50,"No need")</f>
        <v>No need</v>
      </c>
      <c r="Z50" s="13" t="str" cm="1">
        <f t="array" ref="Z50">_xlfn.IFS(ISNUMBER(X50+Y50),X50+Y50,ISTEXT(X50&amp;Y50),"No need")</f>
        <v>No need</v>
      </c>
      <c r="AA50" s="13" t="str" cm="1">
        <f t="array" ref="AA50">_xlfn.IFS(S50*O50&gt;0,S50*O50,S50*O50&lt;0,"No need",S50*O50=0,0)</f>
        <v>No need</v>
      </c>
    </row>
    <row r="51" spans="1:27">
      <c r="A51" s="34">
        <v>49</v>
      </c>
      <c r="B51" s="35">
        <v>9834455580</v>
      </c>
      <c r="C51" s="35" t="s">
        <v>311</v>
      </c>
      <c r="D51" s="34" t="s">
        <v>115</v>
      </c>
      <c r="E51" s="34" t="s">
        <v>116</v>
      </c>
      <c r="F51" s="34" t="s">
        <v>337</v>
      </c>
      <c r="G51" s="34">
        <v>1</v>
      </c>
      <c r="H51" s="34">
        <v>0</v>
      </c>
      <c r="I51" s="34">
        <v>1</v>
      </c>
      <c r="J51" s="34">
        <v>0</v>
      </c>
      <c r="K51" s="36">
        <v>0</v>
      </c>
      <c r="L51" s="36">
        <v>0</v>
      </c>
      <c r="M51" s="36">
        <v>0</v>
      </c>
      <c r="N51" s="36">
        <v>0</v>
      </c>
      <c r="O51" s="13">
        <v>400</v>
      </c>
      <c r="P51" s="12">
        <f t="shared" si="0"/>
        <v>1488</v>
      </c>
      <c r="Q51" s="12">
        <f t="shared" si="1"/>
        <v>0</v>
      </c>
      <c r="R51" s="12">
        <f>(P51+Q51)-Stock!E51</f>
        <v>-56</v>
      </c>
      <c r="S51" s="13">
        <f t="shared" si="2"/>
        <v>-1</v>
      </c>
      <c r="T51" s="13">
        <f t="shared" si="3"/>
        <v>4</v>
      </c>
      <c r="U51" s="13">
        <f t="shared" si="4"/>
        <v>0</v>
      </c>
      <c r="V51" s="13">
        <f t="shared" si="5"/>
        <v>1600</v>
      </c>
      <c r="W51" s="13">
        <f t="shared" si="6"/>
        <v>0</v>
      </c>
      <c r="X51" s="13" t="str" cm="1">
        <f t="array" ref="X51">_xlfn.IFS(P51+Q51&gt;Stock!E51,V51,P51+Q51&lt;Stock!E51,"No need",Stock!E51=0,V51,P51+Q51=Stock!E51,"No need")</f>
        <v>No need</v>
      </c>
      <c r="Y51" s="13" t="str" cm="1">
        <f t="array" ref="Y51">_xlfn.IFS(P51+Q51&gt;Stock!E51,W51,P51+Q51&lt;Stock!E51,"No need",Stock!E51=0,W51,P51+Q51=Stock!E51,"No need")</f>
        <v>No need</v>
      </c>
      <c r="Z51" s="13" t="str" cm="1">
        <f t="array" ref="Z51">_xlfn.IFS(ISNUMBER(X51+Y51),X51+Y51,ISTEXT(X51&amp;Y51),"No need")</f>
        <v>No need</v>
      </c>
      <c r="AA51" s="13" t="str" cm="1">
        <f t="array" ref="AA51">_xlfn.IFS(S51*O51&gt;0,S51*O51,S51*O51&lt;0,"No need",S51*O51=0,0)</f>
        <v>No need</v>
      </c>
    </row>
    <row r="52" spans="1:27">
      <c r="A52" s="34">
        <v>50</v>
      </c>
      <c r="B52" s="35">
        <v>9834591080</v>
      </c>
      <c r="C52" s="35" t="s">
        <v>311</v>
      </c>
      <c r="D52" s="34" t="s">
        <v>117</v>
      </c>
      <c r="E52" s="34" t="s">
        <v>118</v>
      </c>
      <c r="F52" s="34" t="s">
        <v>337</v>
      </c>
      <c r="G52" s="34">
        <v>0</v>
      </c>
      <c r="H52" s="34">
        <v>0</v>
      </c>
      <c r="I52" s="34">
        <v>0</v>
      </c>
      <c r="J52" s="34">
        <v>0</v>
      </c>
      <c r="K52" s="36">
        <v>2</v>
      </c>
      <c r="L52" s="36">
        <v>1</v>
      </c>
      <c r="M52" s="36">
        <v>1</v>
      </c>
      <c r="N52" s="36">
        <v>0</v>
      </c>
      <c r="O52" s="13">
        <v>150</v>
      </c>
      <c r="P52" s="12">
        <f t="shared" si="0"/>
        <v>0</v>
      </c>
      <c r="Q52" s="12">
        <f t="shared" si="1"/>
        <v>4512</v>
      </c>
      <c r="R52" s="12">
        <f>(P52+Q52)-Stock!E52</f>
        <v>1062</v>
      </c>
      <c r="S52" s="13">
        <f t="shared" si="2"/>
        <v>8</v>
      </c>
      <c r="T52" s="13">
        <f t="shared" si="3"/>
        <v>0</v>
      </c>
      <c r="U52" s="13">
        <f t="shared" si="4"/>
        <v>31</v>
      </c>
      <c r="V52" s="13">
        <f t="shared" si="5"/>
        <v>0</v>
      </c>
      <c r="W52" s="13">
        <f t="shared" si="6"/>
        <v>4650</v>
      </c>
      <c r="X52" s="13" cm="1">
        <f t="array" ref="X52">_xlfn.IFS(P52+Q52&gt;Stock!E52,V52,P52+Q52&lt;Stock!E52,"No need",Stock!E52=0,V52,P52+Q52=Stock!E52,"No need")</f>
        <v>0</v>
      </c>
      <c r="Y52" s="13" cm="1">
        <f t="array" ref="Y52">_xlfn.IFS(P52+Q52&gt;Stock!E52,W52,P52+Q52&lt;Stock!E52,"No need",Stock!E52=0,W52,P52+Q52=Stock!E52,"No need")</f>
        <v>4650</v>
      </c>
      <c r="Z52" s="13" cm="1">
        <f t="array" ref="Z52">_xlfn.IFS(ISNUMBER(X52+Y52),X52+Y52,ISTEXT(X52&amp;Y52),"No need")</f>
        <v>4650</v>
      </c>
      <c r="AA52" s="13" cm="1">
        <f t="array" ref="AA52">_xlfn.IFS(S52*O52&gt;0,S52*O52,S52*O52&lt;0,"No need",S52*O52=0,0)</f>
        <v>1200</v>
      </c>
    </row>
    <row r="53" spans="1:27">
      <c r="A53" s="34">
        <v>51</v>
      </c>
      <c r="B53" s="35">
        <v>9862963780</v>
      </c>
      <c r="C53" s="35" t="s">
        <v>311</v>
      </c>
      <c r="D53" s="34" t="s">
        <v>119</v>
      </c>
      <c r="E53" s="34" t="s">
        <v>120</v>
      </c>
      <c r="F53" s="34" t="s">
        <v>337</v>
      </c>
      <c r="G53" s="34">
        <v>0</v>
      </c>
      <c r="H53" s="34">
        <v>0</v>
      </c>
      <c r="I53" s="34">
        <v>0</v>
      </c>
      <c r="J53" s="34">
        <v>0</v>
      </c>
      <c r="K53" s="36">
        <v>2</v>
      </c>
      <c r="L53" s="36">
        <v>1</v>
      </c>
      <c r="M53" s="36">
        <v>1</v>
      </c>
      <c r="N53" s="36">
        <v>0</v>
      </c>
      <c r="O53" s="13">
        <v>150</v>
      </c>
      <c r="P53" s="12">
        <f t="shared" si="0"/>
        <v>0</v>
      </c>
      <c r="Q53" s="12">
        <f t="shared" si="1"/>
        <v>4512</v>
      </c>
      <c r="R53" s="12">
        <f>(P53+Q53)-Stock!E53</f>
        <v>1036</v>
      </c>
      <c r="S53" s="13">
        <f t="shared" si="2"/>
        <v>7</v>
      </c>
      <c r="T53" s="13">
        <f t="shared" si="3"/>
        <v>0</v>
      </c>
      <c r="U53" s="13">
        <f t="shared" si="4"/>
        <v>31</v>
      </c>
      <c r="V53" s="13">
        <f t="shared" si="5"/>
        <v>0</v>
      </c>
      <c r="W53" s="13">
        <f t="shared" si="6"/>
        <v>4650</v>
      </c>
      <c r="X53" s="13" cm="1">
        <f t="array" ref="X53">_xlfn.IFS(P53+Q53&gt;Stock!E53,V53,P53+Q53&lt;Stock!E53,"No need",Stock!E53=0,V53,P53+Q53=Stock!E53,"No need")</f>
        <v>0</v>
      </c>
      <c r="Y53" s="13" cm="1">
        <f t="array" ref="Y53">_xlfn.IFS(P53+Q53&gt;Stock!E53,W53,P53+Q53&lt;Stock!E53,"No need",Stock!E53=0,W53,P53+Q53=Stock!E53,"No need")</f>
        <v>4650</v>
      </c>
      <c r="Z53" s="13" cm="1">
        <f t="array" ref="Z53">_xlfn.IFS(ISNUMBER(X53+Y53),X53+Y53,ISTEXT(X53&amp;Y53),"No need")</f>
        <v>4650</v>
      </c>
      <c r="AA53" s="13" cm="1">
        <f t="array" ref="AA53">_xlfn.IFS(S53*O53&gt;0,S53*O53,S53*O53&lt;0,"No need",S53*O53=0,0)</f>
        <v>1050</v>
      </c>
    </row>
    <row r="54" spans="1:27">
      <c r="A54" s="34">
        <v>52</v>
      </c>
      <c r="B54" s="35">
        <v>9827887480</v>
      </c>
      <c r="C54" s="35" t="s">
        <v>311</v>
      </c>
      <c r="D54" s="34" t="s">
        <v>121</v>
      </c>
      <c r="E54" s="34" t="s">
        <v>122</v>
      </c>
      <c r="F54" s="34" t="s">
        <v>337</v>
      </c>
      <c r="G54" s="34">
        <v>0</v>
      </c>
      <c r="H54" s="34">
        <v>0</v>
      </c>
      <c r="I54" s="34">
        <v>0</v>
      </c>
      <c r="J54" s="34">
        <v>0</v>
      </c>
      <c r="K54" s="36">
        <v>2</v>
      </c>
      <c r="L54" s="36">
        <v>1</v>
      </c>
      <c r="M54" s="36">
        <v>1</v>
      </c>
      <c r="N54" s="36">
        <v>0</v>
      </c>
      <c r="O54" s="13">
        <v>816</v>
      </c>
      <c r="P54" s="12">
        <f t="shared" si="0"/>
        <v>0</v>
      </c>
      <c r="Q54" s="12">
        <f t="shared" si="1"/>
        <v>4512</v>
      </c>
      <c r="R54" s="12">
        <f>(P54+Q54)-Stock!E54</f>
        <v>688</v>
      </c>
      <c r="S54" s="13">
        <f t="shared" si="2"/>
        <v>1</v>
      </c>
      <c r="T54" s="13">
        <f t="shared" si="3"/>
        <v>0</v>
      </c>
      <c r="U54" s="13">
        <f t="shared" si="4"/>
        <v>6</v>
      </c>
      <c r="V54" s="13">
        <f t="shared" si="5"/>
        <v>0</v>
      </c>
      <c r="W54" s="13">
        <f t="shared" si="6"/>
        <v>4896</v>
      </c>
      <c r="X54" s="13" cm="1">
        <f t="array" ref="X54">_xlfn.IFS(P54+Q54&gt;Stock!E54,V54,P54+Q54&lt;Stock!E54,"No need",Stock!E54=0,V54,P54+Q54=Stock!E54,"No need")</f>
        <v>0</v>
      </c>
      <c r="Y54" s="13" cm="1">
        <f t="array" ref="Y54">_xlfn.IFS(P54+Q54&gt;Stock!E54,W54,P54+Q54&lt;Stock!E54,"No need",Stock!E54=0,W54,P54+Q54=Stock!E54,"No need")</f>
        <v>4896</v>
      </c>
      <c r="Z54" s="13" cm="1">
        <f t="array" ref="Z54">_xlfn.IFS(ISNUMBER(X54+Y54),X54+Y54,ISTEXT(X54&amp;Y54),"No need")</f>
        <v>4896</v>
      </c>
      <c r="AA54" s="13" cm="1">
        <f t="array" ref="AA54">_xlfn.IFS(S54*O54&gt;0,S54*O54,S54*O54&lt;0,"No need",S54*O54=0,0)</f>
        <v>816</v>
      </c>
    </row>
    <row r="55" spans="1:27">
      <c r="A55" s="34">
        <v>53</v>
      </c>
      <c r="B55" s="35">
        <v>9824535280</v>
      </c>
      <c r="C55" s="35" t="s">
        <v>311</v>
      </c>
      <c r="D55" s="34" t="s">
        <v>123</v>
      </c>
      <c r="E55" s="34" t="s">
        <v>124</v>
      </c>
      <c r="F55" s="34" t="s">
        <v>337</v>
      </c>
      <c r="G55" s="34">
        <v>0</v>
      </c>
      <c r="H55" s="34">
        <v>0</v>
      </c>
      <c r="I55" s="34">
        <v>0</v>
      </c>
      <c r="J55" s="34">
        <v>0</v>
      </c>
      <c r="K55" s="36">
        <v>2</v>
      </c>
      <c r="L55" s="36">
        <v>1</v>
      </c>
      <c r="M55" s="36">
        <v>1</v>
      </c>
      <c r="N55" s="36">
        <v>0</v>
      </c>
      <c r="O55" s="13">
        <v>240</v>
      </c>
      <c r="P55" s="12">
        <f t="shared" si="0"/>
        <v>0</v>
      </c>
      <c r="Q55" s="12">
        <f t="shared" si="1"/>
        <v>4512</v>
      </c>
      <c r="R55" s="12">
        <f>(P55+Q55)-Stock!E55</f>
        <v>1052</v>
      </c>
      <c r="S55" s="13">
        <f t="shared" si="2"/>
        <v>5</v>
      </c>
      <c r="T55" s="13">
        <f t="shared" si="3"/>
        <v>0</v>
      </c>
      <c r="U55" s="13">
        <f t="shared" si="4"/>
        <v>19</v>
      </c>
      <c r="V55" s="13">
        <f t="shared" si="5"/>
        <v>0</v>
      </c>
      <c r="W55" s="13">
        <f t="shared" si="6"/>
        <v>4560</v>
      </c>
      <c r="X55" s="13" cm="1">
        <f t="array" ref="X55">_xlfn.IFS(P55+Q55&gt;Stock!E55,V55,P55+Q55&lt;Stock!E55,"No need",Stock!E55=0,V55,P55+Q55=Stock!E55,"No need")</f>
        <v>0</v>
      </c>
      <c r="Y55" s="13" cm="1">
        <f t="array" ref="Y55">_xlfn.IFS(P55+Q55&gt;Stock!E55,W55,P55+Q55&lt;Stock!E55,"No need",Stock!E55=0,W55,P55+Q55=Stock!E55,"No need")</f>
        <v>4560</v>
      </c>
      <c r="Z55" s="13" cm="1">
        <f t="array" ref="Z55">_xlfn.IFS(ISNUMBER(X55+Y55),X55+Y55,ISTEXT(X55&amp;Y55),"No need")</f>
        <v>4560</v>
      </c>
      <c r="AA55" s="13" cm="1">
        <f t="array" ref="AA55">_xlfn.IFS(S55*O55&gt;0,S55*O55,S55*O55&lt;0,"No need",S55*O55=0,0)</f>
        <v>1200</v>
      </c>
    </row>
    <row r="56" spans="1:27">
      <c r="A56" s="34">
        <v>54</v>
      </c>
      <c r="B56" s="35">
        <v>9811629480</v>
      </c>
      <c r="C56" s="35" t="s">
        <v>311</v>
      </c>
      <c r="D56" s="34" t="s">
        <v>125</v>
      </c>
      <c r="E56" s="34" t="s">
        <v>126</v>
      </c>
      <c r="F56" s="34" t="s">
        <v>337</v>
      </c>
      <c r="G56" s="34">
        <v>1</v>
      </c>
      <c r="H56" s="34">
        <v>0</v>
      </c>
      <c r="I56" s="34">
        <v>1</v>
      </c>
      <c r="J56" s="34">
        <v>0</v>
      </c>
      <c r="K56" s="36">
        <v>0</v>
      </c>
      <c r="L56" s="36">
        <v>0</v>
      </c>
      <c r="M56" s="36">
        <v>0</v>
      </c>
      <c r="N56" s="36">
        <v>0</v>
      </c>
      <c r="O56" s="13">
        <v>400</v>
      </c>
      <c r="P56" s="12">
        <f t="shared" si="0"/>
        <v>1488</v>
      </c>
      <c r="Q56" s="12">
        <f t="shared" si="1"/>
        <v>0</v>
      </c>
      <c r="R56" s="12">
        <f>(P56+Q56)-Stock!E56</f>
        <v>-31</v>
      </c>
      <c r="S56" s="13">
        <f t="shared" si="2"/>
        <v>-1</v>
      </c>
      <c r="T56" s="13">
        <f t="shared" si="3"/>
        <v>4</v>
      </c>
      <c r="U56" s="13">
        <f t="shared" si="4"/>
        <v>0</v>
      </c>
      <c r="V56" s="13">
        <f t="shared" si="5"/>
        <v>1600</v>
      </c>
      <c r="W56" s="13">
        <f t="shared" si="6"/>
        <v>0</v>
      </c>
      <c r="X56" s="13" t="str" cm="1">
        <f t="array" ref="X56">_xlfn.IFS(P56+Q56&gt;Stock!E56,V56,P56+Q56&lt;Stock!E56,"No need",Stock!E56=0,V56,P56+Q56=Stock!E56,"No need")</f>
        <v>No need</v>
      </c>
      <c r="Y56" s="13" t="str" cm="1">
        <f t="array" ref="Y56">_xlfn.IFS(P56+Q56&gt;Stock!E56,W56,P56+Q56&lt;Stock!E56,"No need",Stock!E56=0,W56,P56+Q56=Stock!E56,"No need")</f>
        <v>No need</v>
      </c>
      <c r="Z56" s="13" t="str" cm="1">
        <f t="array" ref="Z56">_xlfn.IFS(ISNUMBER(X56+Y56),X56+Y56,ISTEXT(X56&amp;Y56),"No need")</f>
        <v>No need</v>
      </c>
      <c r="AA56" s="13" t="str" cm="1">
        <f t="array" ref="AA56">_xlfn.IFS(S56*O56&gt;0,S56*O56,S56*O56&lt;0,"No need",S56*O56=0,0)</f>
        <v>No need</v>
      </c>
    </row>
    <row r="57" spans="1:27">
      <c r="A57" s="34">
        <v>55</v>
      </c>
      <c r="B57" s="35">
        <v>9811631780</v>
      </c>
      <c r="C57" s="35" t="s">
        <v>311</v>
      </c>
      <c r="D57" s="34" t="s">
        <v>127</v>
      </c>
      <c r="E57" s="34" t="s">
        <v>128</v>
      </c>
      <c r="F57" s="34" t="s">
        <v>337</v>
      </c>
      <c r="G57" s="34">
        <v>1</v>
      </c>
      <c r="H57" s="34">
        <v>1</v>
      </c>
      <c r="I57" s="34">
        <v>0</v>
      </c>
      <c r="J57" s="34">
        <v>0</v>
      </c>
      <c r="K57" s="36">
        <v>0</v>
      </c>
      <c r="L57" s="36">
        <v>0</v>
      </c>
      <c r="M57" s="36">
        <v>0</v>
      </c>
      <c r="N57" s="36">
        <v>0</v>
      </c>
      <c r="O57" s="13">
        <v>600</v>
      </c>
      <c r="P57" s="12">
        <f t="shared" si="0"/>
        <v>1488</v>
      </c>
      <c r="Q57" s="12">
        <f t="shared" si="1"/>
        <v>0</v>
      </c>
      <c r="R57" s="12">
        <f>(P57+Q57)-Stock!E57</f>
        <v>-254</v>
      </c>
      <c r="S57" s="13">
        <f t="shared" si="2"/>
        <v>-1</v>
      </c>
      <c r="T57" s="13">
        <f t="shared" si="3"/>
        <v>3</v>
      </c>
      <c r="U57" s="13">
        <f t="shared" si="4"/>
        <v>0</v>
      </c>
      <c r="V57" s="13">
        <f t="shared" si="5"/>
        <v>1800</v>
      </c>
      <c r="W57" s="13">
        <f t="shared" si="6"/>
        <v>0</v>
      </c>
      <c r="X57" s="13" t="str" cm="1">
        <f t="array" ref="X57">_xlfn.IFS(P57+Q57&gt;Stock!E57,V57,P57+Q57&lt;Stock!E57,"No need",Stock!E57=0,V57,P57+Q57=Stock!E57,"No need")</f>
        <v>No need</v>
      </c>
      <c r="Y57" s="13" t="str" cm="1">
        <f t="array" ref="Y57">_xlfn.IFS(P57+Q57&gt;Stock!E57,W57,P57+Q57&lt;Stock!E57,"No need",Stock!E57=0,W57,P57+Q57=Stock!E57,"No need")</f>
        <v>No need</v>
      </c>
      <c r="Z57" s="13" t="str" cm="1">
        <f t="array" ref="Z57">_xlfn.IFS(ISNUMBER(X57+Y57),X57+Y57,ISTEXT(X57&amp;Y57),"No need")</f>
        <v>No need</v>
      </c>
      <c r="AA57" s="13" t="str" cm="1">
        <f t="array" ref="AA57">_xlfn.IFS(S57*O57&gt;0,S57*O57,S57*O57&lt;0,"No need",S57*O57=0,0)</f>
        <v>No need</v>
      </c>
    </row>
    <row r="58" spans="1:27">
      <c r="A58" s="34">
        <v>56</v>
      </c>
      <c r="B58" s="35">
        <v>9810486880</v>
      </c>
      <c r="C58" s="35" t="s">
        <v>311</v>
      </c>
      <c r="D58" s="34" t="s">
        <v>129</v>
      </c>
      <c r="E58" s="34" t="s">
        <v>130</v>
      </c>
      <c r="F58" s="34" t="s">
        <v>337</v>
      </c>
      <c r="G58" s="34">
        <v>0</v>
      </c>
      <c r="H58" s="34">
        <v>0</v>
      </c>
      <c r="I58" s="34">
        <v>0</v>
      </c>
      <c r="J58" s="34">
        <v>0</v>
      </c>
      <c r="K58" s="36">
        <v>1</v>
      </c>
      <c r="L58" s="36">
        <v>1</v>
      </c>
      <c r="M58" s="36">
        <v>0</v>
      </c>
      <c r="N58" s="36">
        <v>0</v>
      </c>
      <c r="O58" s="13">
        <v>2688</v>
      </c>
      <c r="P58" s="12">
        <f t="shared" si="0"/>
        <v>0</v>
      </c>
      <c r="Q58" s="12">
        <f t="shared" si="1"/>
        <v>2256</v>
      </c>
      <c r="R58" s="12">
        <f>(P58+Q58)-Stock!E58</f>
        <v>-314</v>
      </c>
      <c r="S58" s="13">
        <f t="shared" si="2"/>
        <v>-1</v>
      </c>
      <c r="T58" s="13">
        <f t="shared" si="3"/>
        <v>0</v>
      </c>
      <c r="U58" s="13">
        <f t="shared" si="4"/>
        <v>1</v>
      </c>
      <c r="V58" s="13">
        <f t="shared" si="5"/>
        <v>0</v>
      </c>
      <c r="W58" s="13">
        <f t="shared" si="6"/>
        <v>2688</v>
      </c>
      <c r="X58" s="13" t="str" cm="1">
        <f t="array" ref="X58">_xlfn.IFS(P58+Q58&gt;Stock!E58,V58,P58+Q58&lt;Stock!E58,"No need",Stock!E58=0,V58,P58+Q58=Stock!E58,"No need")</f>
        <v>No need</v>
      </c>
      <c r="Y58" s="13" t="str" cm="1">
        <f t="array" ref="Y58">_xlfn.IFS(P58+Q58&gt;Stock!E58,W58,P58+Q58&lt;Stock!E58,"No need",Stock!E58=0,W58,P58+Q58=Stock!E58,"No need")</f>
        <v>No need</v>
      </c>
      <c r="Z58" s="13" t="str" cm="1">
        <f t="array" ref="Z58">_xlfn.IFS(ISNUMBER(X58+Y58),X58+Y58,ISTEXT(X58&amp;Y58),"No need")</f>
        <v>No need</v>
      </c>
      <c r="AA58" s="13" t="str" cm="1">
        <f t="array" ref="AA58">_xlfn.IFS(S58*O58&gt;0,S58*O58,S58*O58&lt;0,"No need",S58*O58=0,0)</f>
        <v>No need</v>
      </c>
    </row>
    <row r="59" spans="1:27">
      <c r="A59" s="34">
        <v>57</v>
      </c>
      <c r="B59" s="35">
        <v>9826765980</v>
      </c>
      <c r="C59" s="35" t="s">
        <v>311</v>
      </c>
      <c r="D59" s="34" t="s">
        <v>131</v>
      </c>
      <c r="E59" s="34" t="s">
        <v>132</v>
      </c>
      <c r="F59" s="34" t="s">
        <v>337</v>
      </c>
      <c r="G59" s="34">
        <v>0</v>
      </c>
      <c r="H59" s="34">
        <v>0</v>
      </c>
      <c r="I59" s="34">
        <v>0</v>
      </c>
      <c r="J59" s="34">
        <v>0</v>
      </c>
      <c r="K59" s="36">
        <v>1</v>
      </c>
      <c r="L59" s="36">
        <v>1</v>
      </c>
      <c r="M59" s="36">
        <v>0</v>
      </c>
      <c r="N59" s="36">
        <v>0</v>
      </c>
      <c r="O59" s="13">
        <v>24</v>
      </c>
      <c r="P59" s="12">
        <f t="shared" si="0"/>
        <v>0</v>
      </c>
      <c r="Q59" s="12">
        <f t="shared" si="1"/>
        <v>2256</v>
      </c>
      <c r="R59" s="12">
        <f>(P59+Q59)-Stock!E59</f>
        <v>576</v>
      </c>
      <c r="S59" s="13">
        <f t="shared" si="2"/>
        <v>24</v>
      </c>
      <c r="T59" s="13">
        <f t="shared" si="3"/>
        <v>0</v>
      </c>
      <c r="U59" s="13">
        <f t="shared" si="4"/>
        <v>94</v>
      </c>
      <c r="V59" s="13">
        <f t="shared" si="5"/>
        <v>0</v>
      </c>
      <c r="W59" s="13">
        <f t="shared" si="6"/>
        <v>2256</v>
      </c>
      <c r="X59" s="13" cm="1">
        <f t="array" ref="X59">_xlfn.IFS(P59+Q59&gt;Stock!E59,V59,P59+Q59&lt;Stock!E59,"No need",Stock!E59=0,V59,P59+Q59=Stock!E59,"No need")</f>
        <v>0</v>
      </c>
      <c r="Y59" s="13" cm="1">
        <f t="array" ref="Y59">_xlfn.IFS(P59+Q59&gt;Stock!E59,W59,P59+Q59&lt;Stock!E59,"No need",Stock!E59=0,W59,P59+Q59=Stock!E59,"No need")</f>
        <v>2256</v>
      </c>
      <c r="Z59" s="13" cm="1">
        <f t="array" ref="Z59">_xlfn.IFS(ISNUMBER(X59+Y59),X59+Y59,ISTEXT(X59&amp;Y59),"No need")</f>
        <v>2256</v>
      </c>
      <c r="AA59" s="13" cm="1">
        <f t="array" ref="AA59">_xlfn.IFS(S59*O59&gt;0,S59*O59,S59*O59&lt;0,"No need",S59*O59=0,0)</f>
        <v>576</v>
      </c>
    </row>
    <row r="60" spans="1:27">
      <c r="A60" s="34">
        <v>58</v>
      </c>
      <c r="B60" s="35">
        <v>9826848880</v>
      </c>
      <c r="C60" s="35" t="s">
        <v>311</v>
      </c>
      <c r="D60" s="34" t="s">
        <v>133</v>
      </c>
      <c r="E60" s="34" t="s">
        <v>134</v>
      </c>
      <c r="F60" s="34" t="s">
        <v>337</v>
      </c>
      <c r="G60" s="34">
        <v>1</v>
      </c>
      <c r="H60" s="34">
        <v>1</v>
      </c>
      <c r="I60" s="34">
        <v>0</v>
      </c>
      <c r="J60" s="34">
        <v>0</v>
      </c>
      <c r="K60" s="36">
        <v>1</v>
      </c>
      <c r="L60" s="36">
        <v>1</v>
      </c>
      <c r="M60" s="36">
        <v>0</v>
      </c>
      <c r="N60" s="36">
        <v>0</v>
      </c>
      <c r="O60" s="13">
        <v>400</v>
      </c>
      <c r="P60" s="12">
        <f t="shared" si="0"/>
        <v>1488</v>
      </c>
      <c r="Q60" s="12">
        <f t="shared" si="1"/>
        <v>2256</v>
      </c>
      <c r="R60" s="12">
        <f>(P60+Q60)-Stock!E60</f>
        <v>692</v>
      </c>
      <c r="S60" s="13">
        <f t="shared" si="2"/>
        <v>2</v>
      </c>
      <c r="T60" s="13">
        <f t="shared" si="3"/>
        <v>4</v>
      </c>
      <c r="U60" s="13">
        <f t="shared" si="4"/>
        <v>6</v>
      </c>
      <c r="V60" s="13">
        <f t="shared" si="5"/>
        <v>1600</v>
      </c>
      <c r="W60" s="13">
        <f t="shared" si="6"/>
        <v>2400</v>
      </c>
      <c r="X60" s="13" cm="1">
        <f t="array" ref="X60">_xlfn.IFS(P60+Q60&gt;Stock!E60,V60,P60+Q60&lt;Stock!E60,"No need",Stock!E60=0,V60,P60+Q60=Stock!E60,"No need")</f>
        <v>1600</v>
      </c>
      <c r="Y60" s="13" cm="1">
        <f t="array" ref="Y60">_xlfn.IFS(P60+Q60&gt;Stock!E60,W60,P60+Q60&lt;Stock!E60,"No need",Stock!E60=0,W60,P60+Q60=Stock!E60,"No need")</f>
        <v>2400</v>
      </c>
      <c r="Z60" s="13" cm="1">
        <f t="array" ref="Z60">_xlfn.IFS(ISNUMBER(X60+Y60),X60+Y60,ISTEXT(X60&amp;Y60),"No need")</f>
        <v>4000</v>
      </c>
      <c r="AA60" s="13" cm="1">
        <f t="array" ref="AA60">_xlfn.IFS(S60*O60&gt;0,S60*O60,S60*O60&lt;0,"No need",S60*O60=0,0)</f>
        <v>800</v>
      </c>
    </row>
    <row r="61" spans="1:27">
      <c r="A61" s="34">
        <v>59</v>
      </c>
      <c r="B61" s="35">
        <v>9826848780</v>
      </c>
      <c r="C61" s="35" t="s">
        <v>311</v>
      </c>
      <c r="D61" s="34" t="s">
        <v>135</v>
      </c>
      <c r="E61" s="34" t="s">
        <v>136</v>
      </c>
      <c r="F61" s="34" t="s">
        <v>337</v>
      </c>
      <c r="G61" s="34">
        <v>1</v>
      </c>
      <c r="H61" s="34">
        <v>0</v>
      </c>
      <c r="I61" s="34">
        <v>1</v>
      </c>
      <c r="J61" s="34">
        <v>0</v>
      </c>
      <c r="K61" s="36">
        <v>1</v>
      </c>
      <c r="L61" s="36">
        <v>0</v>
      </c>
      <c r="M61" s="36">
        <v>1</v>
      </c>
      <c r="N61" s="36">
        <v>0</v>
      </c>
      <c r="O61" s="13">
        <v>400</v>
      </c>
      <c r="P61" s="12">
        <f t="shared" si="0"/>
        <v>1488</v>
      </c>
      <c r="Q61" s="12">
        <f t="shared" si="1"/>
        <v>2256</v>
      </c>
      <c r="R61" s="12">
        <f>(P61+Q61)-Stock!E61</f>
        <v>680</v>
      </c>
      <c r="S61" s="13">
        <f t="shared" si="2"/>
        <v>2</v>
      </c>
      <c r="T61" s="13">
        <f t="shared" si="3"/>
        <v>4</v>
      </c>
      <c r="U61" s="13">
        <f t="shared" si="4"/>
        <v>6</v>
      </c>
      <c r="V61" s="13">
        <f t="shared" si="5"/>
        <v>1600</v>
      </c>
      <c r="W61" s="13">
        <f t="shared" si="6"/>
        <v>2400</v>
      </c>
      <c r="X61" s="13" cm="1">
        <f t="array" ref="X61">_xlfn.IFS(P61+Q61&gt;Stock!E61,V61,P61+Q61&lt;Stock!E61,"No need",Stock!E61=0,V61,P61+Q61=Stock!E61,"No need")</f>
        <v>1600</v>
      </c>
      <c r="Y61" s="13" cm="1">
        <f t="array" ref="Y61">_xlfn.IFS(P61+Q61&gt;Stock!E61,W61,P61+Q61&lt;Stock!E61,"No need",Stock!E61=0,W61,P61+Q61=Stock!E61,"No need")</f>
        <v>2400</v>
      </c>
      <c r="Z61" s="13" cm="1">
        <f t="array" ref="Z61">_xlfn.IFS(ISNUMBER(X61+Y61),X61+Y61,ISTEXT(X61&amp;Y61),"No need")</f>
        <v>4000</v>
      </c>
      <c r="AA61" s="13" cm="1">
        <f t="array" ref="AA61">_xlfn.IFS(S61*O61&gt;0,S61*O61,S61*O61&lt;0,"No need",S61*O61=0,0)</f>
        <v>800</v>
      </c>
    </row>
    <row r="62" spans="1:27">
      <c r="A62" s="34">
        <v>60</v>
      </c>
      <c r="B62" s="35">
        <v>9825066580</v>
      </c>
      <c r="C62" s="35" t="s">
        <v>311</v>
      </c>
      <c r="D62" s="34" t="s">
        <v>137</v>
      </c>
      <c r="E62" s="34" t="s">
        <v>138</v>
      </c>
      <c r="F62" s="34" t="s">
        <v>337</v>
      </c>
      <c r="G62" s="34">
        <v>0</v>
      </c>
      <c r="H62" s="34">
        <v>0</v>
      </c>
      <c r="I62" s="34">
        <v>0</v>
      </c>
      <c r="J62" s="34">
        <v>0</v>
      </c>
      <c r="K62" s="36">
        <v>1</v>
      </c>
      <c r="L62" s="36">
        <v>1</v>
      </c>
      <c r="M62" s="36">
        <v>0</v>
      </c>
      <c r="N62" s="36">
        <v>0</v>
      </c>
      <c r="O62" s="13">
        <v>320</v>
      </c>
      <c r="P62" s="12">
        <f t="shared" si="0"/>
        <v>0</v>
      </c>
      <c r="Q62" s="12">
        <f t="shared" si="1"/>
        <v>2256</v>
      </c>
      <c r="R62" s="12">
        <f>(P62+Q62)-Stock!E62</f>
        <v>392</v>
      </c>
      <c r="S62" s="13">
        <f t="shared" si="2"/>
        <v>2</v>
      </c>
      <c r="T62" s="13">
        <f t="shared" si="3"/>
        <v>0</v>
      </c>
      <c r="U62" s="13">
        <f t="shared" si="4"/>
        <v>8</v>
      </c>
      <c r="V62" s="13">
        <f t="shared" si="5"/>
        <v>0</v>
      </c>
      <c r="W62" s="13">
        <f t="shared" si="6"/>
        <v>2560</v>
      </c>
      <c r="X62" s="13" cm="1">
        <f t="array" ref="X62">_xlfn.IFS(P62+Q62&gt;Stock!E62,V62,P62+Q62&lt;Stock!E62,"No need",Stock!E62=0,V62,P62+Q62=Stock!E62,"No need")</f>
        <v>0</v>
      </c>
      <c r="Y62" s="13" cm="1">
        <f t="array" ref="Y62">_xlfn.IFS(P62+Q62&gt;Stock!E62,W62,P62+Q62&lt;Stock!E62,"No need",Stock!E62=0,W62,P62+Q62=Stock!E62,"No need")</f>
        <v>2560</v>
      </c>
      <c r="Z62" s="13" cm="1">
        <f t="array" ref="Z62">_xlfn.IFS(ISNUMBER(X62+Y62),X62+Y62,ISTEXT(X62&amp;Y62),"No need")</f>
        <v>2560</v>
      </c>
      <c r="AA62" s="13" cm="1">
        <f t="array" ref="AA62">_xlfn.IFS(S62*O62&gt;0,S62*O62,S62*O62&lt;0,"No need",S62*O62=0,0)</f>
        <v>640</v>
      </c>
    </row>
    <row r="63" spans="1:27">
      <c r="A63" s="34">
        <v>61</v>
      </c>
      <c r="B63" s="35">
        <v>9825066780</v>
      </c>
      <c r="C63" s="35" t="s">
        <v>311</v>
      </c>
      <c r="D63" s="34" t="s">
        <v>139</v>
      </c>
      <c r="E63" s="34" t="s">
        <v>140</v>
      </c>
      <c r="F63" s="34" t="s">
        <v>337</v>
      </c>
      <c r="G63" s="34">
        <v>0</v>
      </c>
      <c r="H63" s="34">
        <v>0</v>
      </c>
      <c r="I63" s="34">
        <v>0</v>
      </c>
      <c r="J63" s="34">
        <v>0</v>
      </c>
      <c r="K63" s="36">
        <v>1</v>
      </c>
      <c r="L63" s="36">
        <v>0</v>
      </c>
      <c r="M63" s="36">
        <v>1</v>
      </c>
      <c r="N63" s="36">
        <v>0</v>
      </c>
      <c r="O63" s="13">
        <v>320</v>
      </c>
      <c r="P63" s="12">
        <f t="shared" si="0"/>
        <v>0</v>
      </c>
      <c r="Q63" s="12">
        <f t="shared" si="1"/>
        <v>2256</v>
      </c>
      <c r="R63" s="12">
        <f>(P63+Q63)-Stock!E63</f>
        <v>389</v>
      </c>
      <c r="S63" s="13">
        <f t="shared" si="2"/>
        <v>2</v>
      </c>
      <c r="T63" s="13">
        <f t="shared" si="3"/>
        <v>0</v>
      </c>
      <c r="U63" s="13">
        <f t="shared" si="4"/>
        <v>8</v>
      </c>
      <c r="V63" s="13">
        <f t="shared" si="5"/>
        <v>0</v>
      </c>
      <c r="W63" s="13">
        <f t="shared" si="6"/>
        <v>2560</v>
      </c>
      <c r="X63" s="13" cm="1">
        <f t="array" ref="X63">_xlfn.IFS(P63+Q63&gt;Stock!E63,V63,P63+Q63&lt;Stock!E63,"No need",Stock!E63=0,V63,P63+Q63=Stock!E63,"No need")</f>
        <v>0</v>
      </c>
      <c r="Y63" s="13" cm="1">
        <f t="array" ref="Y63">_xlfn.IFS(P63+Q63&gt;Stock!E63,W63,P63+Q63&lt;Stock!E63,"No need",Stock!E63=0,W63,P63+Q63=Stock!E63,"No need")</f>
        <v>2560</v>
      </c>
      <c r="Z63" s="13" cm="1">
        <f t="array" ref="Z63">_xlfn.IFS(ISNUMBER(X63+Y63),X63+Y63,ISTEXT(X63&amp;Y63),"No need")</f>
        <v>2560</v>
      </c>
      <c r="AA63" s="13" cm="1">
        <f t="array" ref="AA63">_xlfn.IFS(S63*O63&gt;0,S63*O63,S63*O63&lt;0,"No need",S63*O63=0,0)</f>
        <v>640</v>
      </c>
    </row>
    <row r="64" spans="1:27">
      <c r="A64" s="34">
        <v>62</v>
      </c>
      <c r="B64" s="35">
        <v>9836260580</v>
      </c>
      <c r="C64" s="35" t="s">
        <v>311</v>
      </c>
      <c r="D64" s="34" t="s">
        <v>141</v>
      </c>
      <c r="E64" s="34" t="s">
        <v>142</v>
      </c>
      <c r="F64" s="34" t="s">
        <v>337</v>
      </c>
      <c r="G64" s="34">
        <v>1</v>
      </c>
      <c r="H64" s="34">
        <v>0</v>
      </c>
      <c r="I64" s="34">
        <v>1</v>
      </c>
      <c r="J64" s="34">
        <v>0</v>
      </c>
      <c r="K64" s="36">
        <v>1</v>
      </c>
      <c r="L64" s="36">
        <v>0</v>
      </c>
      <c r="M64" s="36">
        <v>1</v>
      </c>
      <c r="N64" s="36">
        <v>0</v>
      </c>
      <c r="O64" s="13">
        <v>540</v>
      </c>
      <c r="P64" s="12">
        <f t="shared" si="0"/>
        <v>1488</v>
      </c>
      <c r="Q64" s="12">
        <f t="shared" si="1"/>
        <v>2256</v>
      </c>
      <c r="R64" s="12">
        <f>(P64+Q64)-Stock!E64</f>
        <v>279</v>
      </c>
      <c r="S64" s="13">
        <f t="shared" si="2"/>
        <v>1</v>
      </c>
      <c r="T64" s="13">
        <f t="shared" si="3"/>
        <v>3</v>
      </c>
      <c r="U64" s="13">
        <f t="shared" si="4"/>
        <v>5</v>
      </c>
      <c r="V64" s="13">
        <f t="shared" si="5"/>
        <v>1620</v>
      </c>
      <c r="W64" s="13">
        <f t="shared" si="6"/>
        <v>2700</v>
      </c>
      <c r="X64" s="13" cm="1">
        <f t="array" ref="X64">_xlfn.IFS(P64+Q64&gt;Stock!E64,V64,P64+Q64&lt;Stock!E64,"No need",Stock!E64=0,V64,P64+Q64=Stock!E64,"No need")</f>
        <v>1620</v>
      </c>
      <c r="Y64" s="13" cm="1">
        <f t="array" ref="Y64">_xlfn.IFS(P64+Q64&gt;Stock!E64,W64,P64+Q64&lt;Stock!E64,"No need",Stock!E64=0,W64,P64+Q64=Stock!E64,"No need")</f>
        <v>2700</v>
      </c>
      <c r="Z64" s="13" cm="1">
        <f t="array" ref="Z64">_xlfn.IFS(ISNUMBER(X64+Y64),X64+Y64,ISTEXT(X64&amp;Y64),"No need")</f>
        <v>4320</v>
      </c>
      <c r="AA64" s="13" cm="1">
        <f t="array" ref="AA64">_xlfn.IFS(S64*O64&gt;0,S64*O64,S64*O64&lt;0,"No need",S64*O64=0,0)</f>
        <v>540</v>
      </c>
    </row>
    <row r="65" spans="1:27">
      <c r="A65" s="34">
        <v>63</v>
      </c>
      <c r="B65" s="35">
        <v>9811655180</v>
      </c>
      <c r="C65" s="35" t="s">
        <v>311</v>
      </c>
      <c r="D65" s="34" t="s">
        <v>143</v>
      </c>
      <c r="E65" s="34" t="s">
        <v>144</v>
      </c>
      <c r="F65" s="34" t="s">
        <v>337</v>
      </c>
      <c r="G65" s="34">
        <v>8</v>
      </c>
      <c r="H65" s="34">
        <v>4</v>
      </c>
      <c r="I65" s="34">
        <v>4</v>
      </c>
      <c r="J65" s="34">
        <v>0</v>
      </c>
      <c r="K65" s="36">
        <v>8</v>
      </c>
      <c r="L65" s="36">
        <v>4</v>
      </c>
      <c r="M65" s="36">
        <v>4</v>
      </c>
      <c r="N65" s="36">
        <v>0</v>
      </c>
      <c r="O65" s="13">
        <v>3300</v>
      </c>
      <c r="P65" s="12">
        <f t="shared" si="0"/>
        <v>11904</v>
      </c>
      <c r="Q65" s="12">
        <f t="shared" si="1"/>
        <v>18048</v>
      </c>
      <c r="R65" s="12">
        <f>(P65+Q65)-Stock!E65</f>
        <v>4684</v>
      </c>
      <c r="S65" s="13">
        <f t="shared" si="2"/>
        <v>2</v>
      </c>
      <c r="T65" s="13">
        <f t="shared" si="3"/>
        <v>4</v>
      </c>
      <c r="U65" s="13">
        <f t="shared" si="4"/>
        <v>6</v>
      </c>
      <c r="V65" s="13">
        <f t="shared" si="5"/>
        <v>13200</v>
      </c>
      <c r="W65" s="13">
        <f t="shared" si="6"/>
        <v>19800</v>
      </c>
      <c r="X65" s="13" cm="1">
        <f t="array" ref="X65">_xlfn.IFS(P65+Q65&gt;Stock!E65,V65,P65+Q65&lt;Stock!E65,"No need",Stock!E65=0,V65,P65+Q65=Stock!E65,"No need")</f>
        <v>13200</v>
      </c>
      <c r="Y65" s="13" cm="1">
        <f t="array" ref="Y65">_xlfn.IFS(P65+Q65&gt;Stock!E65,W65,P65+Q65&lt;Stock!E65,"No need",Stock!E65=0,W65,P65+Q65=Stock!E65,"No need")</f>
        <v>19800</v>
      </c>
      <c r="Z65" s="13" cm="1">
        <f t="array" ref="Z65">_xlfn.IFS(ISNUMBER(X65+Y65),X65+Y65,ISTEXT(X65&amp;Y65),"No need")</f>
        <v>33000</v>
      </c>
      <c r="AA65" s="13" cm="1">
        <f t="array" ref="AA65">_xlfn.IFS(S65*O65&gt;0,S65*O65,S65*O65&lt;0,"No need",S65*O65=0,0)</f>
        <v>6600</v>
      </c>
    </row>
    <row r="66" spans="1:27">
      <c r="A66" s="34">
        <v>64</v>
      </c>
      <c r="B66" s="35" t="s">
        <v>145</v>
      </c>
      <c r="C66" s="35" t="s">
        <v>311</v>
      </c>
      <c r="D66" s="34" t="s">
        <v>146</v>
      </c>
      <c r="E66" s="34" t="s">
        <v>147</v>
      </c>
      <c r="F66" s="34" t="s">
        <v>337</v>
      </c>
      <c r="G66" s="34">
        <v>2</v>
      </c>
      <c r="H66" s="34">
        <v>1</v>
      </c>
      <c r="I66" s="34">
        <v>1</v>
      </c>
      <c r="J66" s="34">
        <v>0</v>
      </c>
      <c r="K66" s="36">
        <v>1</v>
      </c>
      <c r="L66" s="36">
        <v>0</v>
      </c>
      <c r="M66" s="36">
        <v>1</v>
      </c>
      <c r="N66" s="36">
        <v>0</v>
      </c>
      <c r="O66" s="13">
        <v>1200</v>
      </c>
      <c r="P66" s="12">
        <f t="shared" si="0"/>
        <v>2976</v>
      </c>
      <c r="Q66" s="12">
        <f t="shared" si="1"/>
        <v>2256</v>
      </c>
      <c r="R66" s="12">
        <f>(P66+Q66)-Stock!E66</f>
        <v>637</v>
      </c>
      <c r="S66" s="13">
        <f t="shared" si="2"/>
        <v>1</v>
      </c>
      <c r="T66" s="13">
        <f t="shared" si="3"/>
        <v>3</v>
      </c>
      <c r="U66" s="13">
        <f t="shared" si="4"/>
        <v>2</v>
      </c>
      <c r="V66" s="13">
        <f t="shared" si="5"/>
        <v>3600</v>
      </c>
      <c r="W66" s="13">
        <f t="shared" si="6"/>
        <v>2400</v>
      </c>
      <c r="X66" s="13" cm="1">
        <f t="array" ref="X66">_xlfn.IFS(P66+Q66&gt;Stock!E66,V66,P66+Q66&lt;Stock!E66,"No need",Stock!E66=0,V66,P66+Q66=Stock!E66,"No need")</f>
        <v>3600</v>
      </c>
      <c r="Y66" s="13" cm="1">
        <f t="array" ref="Y66">_xlfn.IFS(P66+Q66&gt;Stock!E66,W66,P66+Q66&lt;Stock!E66,"No need",Stock!E66=0,W66,P66+Q66=Stock!E66,"No need")</f>
        <v>2400</v>
      </c>
      <c r="Z66" s="13" cm="1">
        <f t="array" ref="Z66">_xlfn.IFS(ISNUMBER(X66+Y66),X66+Y66,ISTEXT(X66&amp;Y66),"No need")</f>
        <v>6000</v>
      </c>
      <c r="AA66" s="13" cm="1">
        <f t="array" ref="AA66">_xlfn.IFS(S66*O66&gt;0,S66*O66,S66*O66&lt;0,"No need",S66*O66=0,0)</f>
        <v>1200</v>
      </c>
    </row>
    <row r="67" spans="1:27" ht="28.8">
      <c r="A67" s="34">
        <v>65</v>
      </c>
      <c r="B67" s="35">
        <v>9655645180</v>
      </c>
      <c r="C67" s="35" t="s">
        <v>311</v>
      </c>
      <c r="D67" s="34" t="s">
        <v>148</v>
      </c>
      <c r="E67" s="37" t="s">
        <v>149</v>
      </c>
      <c r="F67" s="34" t="s">
        <v>337</v>
      </c>
      <c r="G67" s="34">
        <v>2</v>
      </c>
      <c r="H67" s="34">
        <v>1</v>
      </c>
      <c r="I67" s="34">
        <v>1</v>
      </c>
      <c r="J67" s="34">
        <v>0</v>
      </c>
      <c r="K67" s="36">
        <v>2</v>
      </c>
      <c r="L67" s="36">
        <v>1</v>
      </c>
      <c r="M67" s="36">
        <v>1</v>
      </c>
      <c r="N67" s="36">
        <v>0</v>
      </c>
      <c r="O67" s="13">
        <v>1500</v>
      </c>
      <c r="P67" s="12">
        <f t="shared" si="0"/>
        <v>2976</v>
      </c>
      <c r="Q67" s="12">
        <f t="shared" si="1"/>
        <v>4512</v>
      </c>
      <c r="R67" s="12">
        <f>(P67+Q67)-Stock!E67</f>
        <v>1766</v>
      </c>
      <c r="S67" s="13">
        <f t="shared" si="2"/>
        <v>2</v>
      </c>
      <c r="T67" s="13">
        <f t="shared" si="3"/>
        <v>2</v>
      </c>
      <c r="U67" s="13">
        <f t="shared" si="4"/>
        <v>4</v>
      </c>
      <c r="V67" s="13">
        <f t="shared" si="5"/>
        <v>3000</v>
      </c>
      <c r="W67" s="13">
        <f t="shared" si="6"/>
        <v>6000</v>
      </c>
      <c r="X67" s="13" cm="1">
        <f t="array" ref="X67">_xlfn.IFS(P67+Q67&gt;Stock!E67,V67,P67+Q67&lt;Stock!E67,"No need",Stock!E67=0,V67,P67+Q67=Stock!E67,"No need")</f>
        <v>3000</v>
      </c>
      <c r="Y67" s="13" cm="1">
        <f t="array" ref="Y67">_xlfn.IFS(P67+Q67&gt;Stock!E67,W67,P67+Q67&lt;Stock!E67,"No need",Stock!E67=0,W67,P67+Q67=Stock!E67,"No need")</f>
        <v>6000</v>
      </c>
      <c r="Z67" s="13" cm="1">
        <f t="array" ref="Z67">_xlfn.IFS(ISNUMBER(X67+Y67),X67+Y67,ISTEXT(X67&amp;Y67),"No need")</f>
        <v>9000</v>
      </c>
      <c r="AA67" s="13" cm="1">
        <f t="array" ref="AA67">_xlfn.IFS(S67*O67&gt;0,S67*O67,S67*O67&lt;0,"No need",S67*O67=0,0)</f>
        <v>3000</v>
      </c>
    </row>
    <row r="68" spans="1:27">
      <c r="A68" s="34">
        <v>66</v>
      </c>
      <c r="B68" s="35" t="s">
        <v>150</v>
      </c>
      <c r="C68" s="35" t="s">
        <v>311</v>
      </c>
      <c r="D68" s="34" t="s">
        <v>151</v>
      </c>
      <c r="E68" s="34" t="s">
        <v>152</v>
      </c>
      <c r="F68" s="34" t="s">
        <v>337</v>
      </c>
      <c r="G68" s="34">
        <v>2</v>
      </c>
      <c r="H68" s="34">
        <v>1</v>
      </c>
      <c r="I68" s="34">
        <v>1</v>
      </c>
      <c r="J68" s="34">
        <v>0</v>
      </c>
      <c r="K68" s="36">
        <v>2</v>
      </c>
      <c r="L68" s="36">
        <v>1</v>
      </c>
      <c r="M68" s="36">
        <v>1</v>
      </c>
      <c r="N68" s="36">
        <v>0</v>
      </c>
      <c r="O68" s="13">
        <v>5500</v>
      </c>
      <c r="P68" s="12">
        <f t="shared" ref="P68:P132" si="7">G68*$P$2</f>
        <v>2976</v>
      </c>
      <c r="Q68" s="12">
        <f t="shared" ref="Q68:Q132" si="8">K68*$Q$2</f>
        <v>4512</v>
      </c>
      <c r="R68" s="12">
        <f>(P68+Q68)-Stock!E68</f>
        <v>-3274</v>
      </c>
      <c r="S68" s="13">
        <f t="shared" ref="S68:S130" si="9">ROUNDUP(R68/O68,0)</f>
        <v>-1</v>
      </c>
      <c r="T68" s="13">
        <f t="shared" ref="T68:T132" si="10">ROUNDUP($P$2/O68*G68,0)</f>
        <v>1</v>
      </c>
      <c r="U68" s="13">
        <f t="shared" ref="U68:U133" si="11">ROUNDUP($Q$2/O68*K68,0)</f>
        <v>1</v>
      </c>
      <c r="V68" s="13">
        <f t="shared" ref="V68:V130" si="12">T68*O68</f>
        <v>5500</v>
      </c>
      <c r="W68" s="13">
        <f t="shared" ref="W68:W130" si="13">O68*U68</f>
        <v>5500</v>
      </c>
      <c r="X68" s="13" t="str" cm="1">
        <f t="array" ref="X68">_xlfn.IFS(P68+Q68&gt;Stock!E68,V68,P68+Q68&lt;Stock!E68,"No need",Stock!E68=0,V68,P68+Q68=Stock!E68,"No need")</f>
        <v>No need</v>
      </c>
      <c r="Y68" s="13" t="str" cm="1">
        <f t="array" ref="Y68">_xlfn.IFS(P68+Q68&gt;Stock!E68,W68,P68+Q68&lt;Stock!E68,"No need",Stock!E68=0,W68,P68+Q68=Stock!E68,"No need")</f>
        <v>No need</v>
      </c>
      <c r="Z68" s="13" t="str" cm="1">
        <f t="array" ref="Z68">_xlfn.IFS(ISNUMBER(X68+Y68),X68+Y68,ISTEXT(X68&amp;Y68),"No need")</f>
        <v>No need</v>
      </c>
      <c r="AA68" s="13" t="str" cm="1">
        <f t="array" ref="AA68">_xlfn.IFS(S68*O68&gt;0,S68*O68,S68*O68&lt;0,"No need",S68*O68=0,0)</f>
        <v>No need</v>
      </c>
    </row>
    <row r="69" spans="1:27">
      <c r="A69" s="34">
        <v>67</v>
      </c>
      <c r="B69" s="35" t="s">
        <v>153</v>
      </c>
      <c r="C69" s="35" t="s">
        <v>311</v>
      </c>
      <c r="D69" s="34" t="s">
        <v>154</v>
      </c>
      <c r="E69" s="34" t="s">
        <v>155</v>
      </c>
      <c r="F69" s="34" t="s">
        <v>337</v>
      </c>
      <c r="G69" s="34">
        <v>4</v>
      </c>
      <c r="H69" s="34">
        <v>2</v>
      </c>
      <c r="I69" s="34">
        <v>2</v>
      </c>
      <c r="J69" s="34">
        <v>0</v>
      </c>
      <c r="K69" s="36">
        <v>4</v>
      </c>
      <c r="L69" s="36">
        <v>2</v>
      </c>
      <c r="M69" s="36">
        <v>2</v>
      </c>
      <c r="N69" s="36">
        <v>0</v>
      </c>
      <c r="O69" s="13">
        <v>2500</v>
      </c>
      <c r="P69" s="12">
        <f t="shared" si="7"/>
        <v>5952</v>
      </c>
      <c r="Q69" s="12">
        <f t="shared" si="8"/>
        <v>9024</v>
      </c>
      <c r="R69" s="12">
        <f>(P69+Q69)-Stock!E69</f>
        <v>1432</v>
      </c>
      <c r="S69" s="13">
        <f t="shared" si="9"/>
        <v>1</v>
      </c>
      <c r="T69" s="13">
        <f t="shared" si="10"/>
        <v>3</v>
      </c>
      <c r="U69" s="13">
        <f t="shared" si="11"/>
        <v>4</v>
      </c>
      <c r="V69" s="13">
        <f t="shared" si="12"/>
        <v>7500</v>
      </c>
      <c r="W69" s="13">
        <f t="shared" si="13"/>
        <v>10000</v>
      </c>
      <c r="X69" s="13" cm="1">
        <f t="array" ref="X69">_xlfn.IFS(P69+Q69&gt;Stock!E69,V69,P69+Q69&lt;Stock!E69,"No need",Stock!E69=0,V69,P69+Q69=Stock!E69,"No need")</f>
        <v>7500</v>
      </c>
      <c r="Y69" s="13" cm="1">
        <f t="array" ref="Y69">_xlfn.IFS(P69+Q69&gt;Stock!E69,W69,P69+Q69&lt;Stock!E69,"No need",Stock!E69=0,W69,P69+Q69=Stock!E69,"No need")</f>
        <v>10000</v>
      </c>
      <c r="Z69" s="13" cm="1">
        <f t="array" ref="Z69">_xlfn.IFS(ISNUMBER(X69+Y69),X69+Y69,ISTEXT(X69&amp;Y69),"No need")</f>
        <v>17500</v>
      </c>
      <c r="AA69" s="13" cm="1">
        <f t="array" ref="AA69">_xlfn.IFS(S69*O69&gt;0,S69*O69,S69*O69&lt;0,"No need",S69*O69=0,0)</f>
        <v>2500</v>
      </c>
    </row>
    <row r="70" spans="1:27">
      <c r="A70" s="34">
        <v>68</v>
      </c>
      <c r="B70" s="35" t="s">
        <v>156</v>
      </c>
      <c r="C70" s="35" t="s">
        <v>311</v>
      </c>
      <c r="D70" s="34" t="s">
        <v>157</v>
      </c>
      <c r="E70" s="34" t="s">
        <v>158</v>
      </c>
      <c r="F70" s="34" t="s">
        <v>337</v>
      </c>
      <c r="G70" s="34">
        <v>2</v>
      </c>
      <c r="H70" s="34">
        <v>1</v>
      </c>
      <c r="I70" s="34">
        <v>1</v>
      </c>
      <c r="J70" s="34">
        <v>0</v>
      </c>
      <c r="K70" s="36">
        <v>2</v>
      </c>
      <c r="L70" s="36">
        <v>1</v>
      </c>
      <c r="M70" s="36">
        <v>1</v>
      </c>
      <c r="N70" s="36">
        <v>0</v>
      </c>
      <c r="O70" s="13">
        <v>2000</v>
      </c>
      <c r="P70" s="12">
        <f t="shared" si="7"/>
        <v>2976</v>
      </c>
      <c r="Q70" s="12">
        <f t="shared" si="8"/>
        <v>4512</v>
      </c>
      <c r="R70" s="12">
        <f>(P70+Q70)-Stock!E70</f>
        <v>1756</v>
      </c>
      <c r="S70" s="13">
        <f t="shared" si="9"/>
        <v>1</v>
      </c>
      <c r="T70" s="13">
        <f t="shared" si="10"/>
        <v>2</v>
      </c>
      <c r="U70" s="13">
        <f t="shared" si="11"/>
        <v>3</v>
      </c>
      <c r="V70" s="13">
        <f t="shared" si="12"/>
        <v>4000</v>
      </c>
      <c r="W70" s="13">
        <f t="shared" si="13"/>
        <v>6000</v>
      </c>
      <c r="X70" s="13" cm="1">
        <f t="array" ref="X70">_xlfn.IFS(P70+Q70&gt;Stock!E70,V70,P70+Q70&lt;Stock!E70,"No need",Stock!E70=0,V70,P70+Q70=Stock!E70,"No need")</f>
        <v>4000</v>
      </c>
      <c r="Y70" s="13" cm="1">
        <f t="array" ref="Y70">_xlfn.IFS(P70+Q70&gt;Stock!E70,W70,P70+Q70&lt;Stock!E70,"No need",Stock!E70=0,W70,P70+Q70=Stock!E70,"No need")</f>
        <v>6000</v>
      </c>
      <c r="Z70" s="13" cm="1">
        <f t="array" ref="Z70">_xlfn.IFS(ISNUMBER(X70+Y70),X70+Y70,ISTEXT(X70&amp;Y70),"No need")</f>
        <v>10000</v>
      </c>
      <c r="AA70" s="13" cm="1">
        <f t="array" ref="AA70">_xlfn.IFS(S70*O70&gt;0,S70*O70,S70*O70&lt;0,"No need",S70*O70=0,0)</f>
        <v>2000</v>
      </c>
    </row>
    <row r="71" spans="1:27" s="101" customFormat="1">
      <c r="A71" s="97">
        <v>69</v>
      </c>
      <c r="B71" s="98" t="s">
        <v>83</v>
      </c>
      <c r="C71" s="98" t="s">
        <v>311</v>
      </c>
      <c r="D71" s="97" t="s">
        <v>159</v>
      </c>
      <c r="E71" s="97" t="s">
        <v>160</v>
      </c>
      <c r="F71" s="97" t="s">
        <v>337</v>
      </c>
      <c r="G71" s="97">
        <v>110</v>
      </c>
      <c r="H71" s="97">
        <v>28</v>
      </c>
      <c r="I71" s="97">
        <v>28</v>
      </c>
      <c r="J71" s="97">
        <v>54</v>
      </c>
      <c r="K71" s="99">
        <v>110</v>
      </c>
      <c r="L71" s="99">
        <v>28</v>
      </c>
      <c r="M71" s="99">
        <v>28</v>
      </c>
      <c r="N71" s="99">
        <v>54</v>
      </c>
      <c r="O71" s="99">
        <v>6600</v>
      </c>
      <c r="P71" s="100">
        <f t="shared" si="7"/>
        <v>163680</v>
      </c>
      <c r="Q71" s="100">
        <f t="shared" si="8"/>
        <v>248160</v>
      </c>
      <c r="R71" s="100">
        <f>(P71+Q71)-Stock!E71</f>
        <v>94118</v>
      </c>
      <c r="S71" s="99">
        <f t="shared" si="9"/>
        <v>15</v>
      </c>
      <c r="T71" s="99">
        <f t="shared" si="10"/>
        <v>25</v>
      </c>
      <c r="U71" s="99">
        <f t="shared" si="11"/>
        <v>38</v>
      </c>
      <c r="V71" s="99">
        <f t="shared" si="12"/>
        <v>165000</v>
      </c>
      <c r="W71" s="99">
        <f t="shared" si="13"/>
        <v>250800</v>
      </c>
      <c r="X71" s="99" cm="1">
        <f t="array" ref="X71">_xlfn.IFS(P71+Q71&gt;Stock!E71,V71,P71+Q71&lt;Stock!E71,"No need",Stock!E71=0,V71,P71+Q71=Stock!E71,"No need")</f>
        <v>165000</v>
      </c>
      <c r="Y71" s="99" cm="1">
        <f t="array" ref="Y71">_xlfn.IFS(P71+Q71&gt;Stock!E71,W71,P71+Q71&lt;Stock!E71,"No need",Stock!E71=0,W71,P71+Q71=Stock!E71,"No need")</f>
        <v>250800</v>
      </c>
      <c r="Z71" s="99" cm="1">
        <f t="array" ref="Z71">_xlfn.IFS(ISNUMBER(X71+Y71),X71+Y71,ISTEXT(X71&amp;Y71),"No need")</f>
        <v>415800</v>
      </c>
      <c r="AA71" s="99" cm="1">
        <f t="array" ref="AA71">_xlfn.IFS(S71*O71&gt;0,S71*O71,S71*O71&lt;0,"No need",S71*O71=0,0)</f>
        <v>99000</v>
      </c>
    </row>
    <row r="72" spans="1:27">
      <c r="A72" s="34">
        <v>70</v>
      </c>
      <c r="B72" s="35" t="s">
        <v>83</v>
      </c>
      <c r="C72" s="35" t="s">
        <v>311</v>
      </c>
      <c r="D72" s="34" t="s">
        <v>161</v>
      </c>
      <c r="E72" s="34" t="s">
        <v>162</v>
      </c>
      <c r="F72" s="34" t="s">
        <v>337</v>
      </c>
      <c r="G72" s="34">
        <v>0</v>
      </c>
      <c r="H72" s="34">
        <v>0</v>
      </c>
      <c r="I72" s="34">
        <v>0</v>
      </c>
      <c r="J72" s="34">
        <v>0</v>
      </c>
      <c r="K72" s="36">
        <v>1</v>
      </c>
      <c r="L72" s="36">
        <v>0</v>
      </c>
      <c r="M72" s="36">
        <v>0</v>
      </c>
      <c r="N72" s="36">
        <v>1</v>
      </c>
      <c r="O72" s="13">
        <v>1600</v>
      </c>
      <c r="P72" s="12">
        <f t="shared" si="7"/>
        <v>0</v>
      </c>
      <c r="Q72" s="12">
        <f t="shared" si="8"/>
        <v>2256</v>
      </c>
      <c r="R72" s="12">
        <f>(P72+Q72)-Stock!E72</f>
        <v>-892</v>
      </c>
      <c r="S72" s="13">
        <f t="shared" si="9"/>
        <v>-1</v>
      </c>
      <c r="T72" s="13">
        <f t="shared" si="10"/>
        <v>0</v>
      </c>
      <c r="U72" s="13">
        <f t="shared" si="11"/>
        <v>2</v>
      </c>
      <c r="V72" s="13">
        <f t="shared" si="12"/>
        <v>0</v>
      </c>
      <c r="W72" s="13">
        <f t="shared" si="13"/>
        <v>3200</v>
      </c>
      <c r="X72" s="13" t="str" cm="1">
        <f t="array" ref="X72">_xlfn.IFS(P72+Q72&gt;Stock!E72,V72,P72+Q72&lt;Stock!E72,"No need",Stock!E72=0,V72,P72+Q72=Stock!E72,"No need")</f>
        <v>No need</v>
      </c>
      <c r="Y72" s="13" t="str" cm="1">
        <f t="array" ref="Y72">_xlfn.IFS(P72+Q72&gt;Stock!E72,W72,P72+Q72&lt;Stock!E72,"No need",Stock!E72=0,W72,P72+Q72=Stock!E72,"No need")</f>
        <v>No need</v>
      </c>
      <c r="Z72" s="13" t="str" cm="1">
        <f t="array" ref="Z72">_xlfn.IFS(ISNUMBER(X72+Y72),X72+Y72,ISTEXT(X72&amp;Y72),"No need")</f>
        <v>No need</v>
      </c>
      <c r="AA72" s="13" t="str" cm="1">
        <f t="array" ref="AA72">_xlfn.IFS(S72*O72&gt;0,S72*O72,S72*O72&lt;0,"No need",S72*O72=0,0)</f>
        <v>No need</v>
      </c>
    </row>
    <row r="73" spans="1:27">
      <c r="A73" s="34">
        <v>71</v>
      </c>
      <c r="B73" s="35">
        <v>7903233064</v>
      </c>
      <c r="C73" s="35" t="s">
        <v>311</v>
      </c>
      <c r="D73" s="34" t="s">
        <v>163</v>
      </c>
      <c r="E73" s="34" t="s">
        <v>164</v>
      </c>
      <c r="F73" s="34" t="s">
        <v>337</v>
      </c>
      <c r="G73" s="34">
        <v>1</v>
      </c>
      <c r="H73" s="34">
        <v>0</v>
      </c>
      <c r="I73" s="34">
        <v>0</v>
      </c>
      <c r="J73" s="34">
        <v>1</v>
      </c>
      <c r="K73" s="36">
        <v>1</v>
      </c>
      <c r="L73" s="36">
        <v>0</v>
      </c>
      <c r="M73" s="36">
        <v>0</v>
      </c>
      <c r="N73" s="36">
        <v>1</v>
      </c>
      <c r="O73" s="13">
        <v>2500</v>
      </c>
      <c r="P73" s="12">
        <f t="shared" si="7"/>
        <v>1488</v>
      </c>
      <c r="Q73" s="12">
        <f t="shared" si="8"/>
        <v>2256</v>
      </c>
      <c r="R73" s="12">
        <f>(P73+Q73)-Stock!E73</f>
        <v>365</v>
      </c>
      <c r="S73" s="13">
        <f t="shared" si="9"/>
        <v>1</v>
      </c>
      <c r="T73" s="13">
        <f t="shared" si="10"/>
        <v>1</v>
      </c>
      <c r="U73" s="13">
        <f t="shared" si="11"/>
        <v>1</v>
      </c>
      <c r="V73" s="13">
        <f t="shared" si="12"/>
        <v>2500</v>
      </c>
      <c r="W73" s="13">
        <f t="shared" si="13"/>
        <v>2500</v>
      </c>
      <c r="X73" s="13" cm="1">
        <f t="array" ref="X73">_xlfn.IFS(P73+Q73&gt;Stock!E73,V73,P73+Q73&lt;Stock!E73,"No need",Stock!E73=0,V73,P73+Q73=Stock!E73,"No need")</f>
        <v>2500</v>
      </c>
      <c r="Y73" s="13" cm="1">
        <f t="array" ref="Y73">_xlfn.IFS(P73+Q73&gt;Stock!E73,W73,P73+Q73&lt;Stock!E73,"No need",Stock!E73=0,W73,P73+Q73=Stock!E73,"No need")</f>
        <v>2500</v>
      </c>
      <c r="Z73" s="13" cm="1">
        <f t="array" ref="Z73">_xlfn.IFS(ISNUMBER(X73+Y73),X73+Y73,ISTEXT(X73&amp;Y73),"No need")</f>
        <v>5000</v>
      </c>
      <c r="AA73" s="13" cm="1">
        <f t="array" ref="AA73">_xlfn.IFS(S73*O73&gt;0,S73*O73,S73*O73&lt;0,"No need",S73*O73=0,0)</f>
        <v>2500</v>
      </c>
    </row>
    <row r="74" spans="1:27">
      <c r="A74" s="34">
        <v>72</v>
      </c>
      <c r="B74" s="35" t="s">
        <v>165</v>
      </c>
      <c r="C74" s="35" t="s">
        <v>311</v>
      </c>
      <c r="D74" s="34" t="s">
        <v>166</v>
      </c>
      <c r="E74" s="34" t="s">
        <v>167</v>
      </c>
      <c r="F74" s="34" t="s">
        <v>337</v>
      </c>
      <c r="G74" s="34">
        <v>4</v>
      </c>
      <c r="H74" s="34">
        <v>0</v>
      </c>
      <c r="I74" s="34">
        <v>0</v>
      </c>
      <c r="J74" s="34">
        <v>4</v>
      </c>
      <c r="K74" s="36">
        <v>4</v>
      </c>
      <c r="L74" s="36">
        <v>0</v>
      </c>
      <c r="M74" s="36">
        <v>0</v>
      </c>
      <c r="N74" s="36">
        <v>4</v>
      </c>
      <c r="O74" s="13">
        <v>1000</v>
      </c>
      <c r="P74" s="12">
        <f t="shared" si="7"/>
        <v>5952</v>
      </c>
      <c r="Q74" s="12">
        <f t="shared" si="8"/>
        <v>9024</v>
      </c>
      <c r="R74" s="12">
        <f>(P74+Q74)-Stock!E74</f>
        <v>3520</v>
      </c>
      <c r="S74" s="13">
        <f t="shared" si="9"/>
        <v>4</v>
      </c>
      <c r="T74" s="13">
        <f t="shared" si="10"/>
        <v>6</v>
      </c>
      <c r="U74" s="13">
        <f t="shared" si="11"/>
        <v>10</v>
      </c>
      <c r="V74" s="13">
        <f t="shared" si="12"/>
        <v>6000</v>
      </c>
      <c r="W74" s="13">
        <f t="shared" si="13"/>
        <v>10000</v>
      </c>
      <c r="X74" s="13" cm="1">
        <f t="array" ref="X74">_xlfn.IFS(P74+Q74&gt;Stock!E74,V74,P74+Q74&lt;Stock!E74,"No need",Stock!E74=0,V74,P74+Q74=Stock!E74,"No need")</f>
        <v>6000</v>
      </c>
      <c r="Y74" s="13" cm="1">
        <f t="array" ref="Y74">_xlfn.IFS(P74+Q74&gt;Stock!E74,W74,P74+Q74&lt;Stock!E74,"No need",Stock!E74=0,W74,P74+Q74=Stock!E74,"No need")</f>
        <v>10000</v>
      </c>
      <c r="Z74" s="13" cm="1">
        <f t="array" ref="Z74">_xlfn.IFS(ISNUMBER(X74+Y74),X74+Y74,ISTEXT(X74&amp;Y74),"No need")</f>
        <v>16000</v>
      </c>
      <c r="AA74" s="13" cm="1">
        <f t="array" ref="AA74">_xlfn.IFS(S74*O74&gt;0,S74*O74,S74*O74&lt;0,"No need",S74*O74=0,0)</f>
        <v>4000</v>
      </c>
    </row>
    <row r="75" spans="1:27">
      <c r="A75" s="34">
        <v>73</v>
      </c>
      <c r="B75" s="35">
        <v>9815584280</v>
      </c>
      <c r="C75" s="35" t="s">
        <v>311</v>
      </c>
      <c r="D75" s="34" t="s">
        <v>168</v>
      </c>
      <c r="E75" s="34" t="s">
        <v>169</v>
      </c>
      <c r="F75" s="34" t="s">
        <v>337</v>
      </c>
      <c r="G75" s="34">
        <v>8</v>
      </c>
      <c r="H75" s="34">
        <v>2</v>
      </c>
      <c r="I75" s="34">
        <v>2</v>
      </c>
      <c r="J75" s="34">
        <v>4</v>
      </c>
      <c r="K75" s="36">
        <v>8</v>
      </c>
      <c r="L75" s="36">
        <v>2</v>
      </c>
      <c r="M75" s="36">
        <v>2</v>
      </c>
      <c r="N75" s="36">
        <v>4</v>
      </c>
      <c r="O75" s="13">
        <v>2500</v>
      </c>
      <c r="P75" s="12">
        <f t="shared" si="7"/>
        <v>11904</v>
      </c>
      <c r="Q75" s="12">
        <f t="shared" si="8"/>
        <v>18048</v>
      </c>
      <c r="R75" s="12">
        <f>(P75+Q75)-Stock!E75</f>
        <v>5292</v>
      </c>
      <c r="S75" s="13">
        <f t="shared" si="9"/>
        <v>3</v>
      </c>
      <c r="T75" s="13">
        <f>ROUNDUP($P$2/O75*G75,0)</f>
        <v>5</v>
      </c>
      <c r="U75" s="13">
        <f t="shared" si="11"/>
        <v>8</v>
      </c>
      <c r="V75" s="13">
        <f t="shared" si="12"/>
        <v>12500</v>
      </c>
      <c r="W75" s="13">
        <f t="shared" si="13"/>
        <v>20000</v>
      </c>
      <c r="X75" s="13" cm="1">
        <f t="array" ref="X75">_xlfn.IFS(P75+Q75&gt;Stock!E75,V75,P75+Q75&lt;Stock!E75,"No need",Stock!E75=0,V75,P75+Q75=Stock!E75,"No need")</f>
        <v>12500</v>
      </c>
      <c r="Y75" s="13" cm="1">
        <f t="array" ref="Y75">_xlfn.IFS(P75+Q75&gt;Stock!E75,W75,P75+Q75&lt;Stock!E75,"No need",Stock!E75=0,W75,P75+Q75=Stock!E75,"No need")</f>
        <v>20000</v>
      </c>
      <c r="Z75" s="13" cm="1">
        <f t="array" ref="Z75">_xlfn.IFS(ISNUMBER(X75+Y75),X75+Y75,ISTEXT(X75&amp;Y75),"No need")</f>
        <v>32500</v>
      </c>
      <c r="AA75" s="13" cm="1">
        <f t="array" ref="AA75">_xlfn.IFS(S75*O75&gt;0,S75*O75,S75*O75&lt;0,"No need",S75*O75=0,0)</f>
        <v>7500</v>
      </c>
    </row>
    <row r="76" spans="1:27">
      <c r="A76" s="34">
        <v>74</v>
      </c>
      <c r="B76" s="35" t="s">
        <v>83</v>
      </c>
      <c r="C76" s="35" t="s">
        <v>311</v>
      </c>
      <c r="D76" s="34" t="s">
        <v>170</v>
      </c>
      <c r="E76" s="34" t="s">
        <v>171</v>
      </c>
      <c r="F76" s="34" t="s">
        <v>337</v>
      </c>
      <c r="G76" s="34">
        <v>0</v>
      </c>
      <c r="H76" s="34">
        <v>0</v>
      </c>
      <c r="I76" s="34">
        <v>0</v>
      </c>
      <c r="J76" s="34">
        <v>0</v>
      </c>
      <c r="K76" s="36">
        <v>2</v>
      </c>
      <c r="L76" s="36">
        <v>0</v>
      </c>
      <c r="M76" s="36">
        <v>0</v>
      </c>
      <c r="N76" s="36">
        <v>2</v>
      </c>
      <c r="O76" s="13">
        <v>4000</v>
      </c>
      <c r="P76" s="12">
        <f t="shared" si="7"/>
        <v>0</v>
      </c>
      <c r="Q76" s="12">
        <f t="shared" si="8"/>
        <v>4512</v>
      </c>
      <c r="R76" s="12">
        <f>(P76+Q76)-Stock!E76</f>
        <v>-7344</v>
      </c>
      <c r="S76" s="13">
        <f t="shared" si="9"/>
        <v>-2</v>
      </c>
      <c r="T76" s="13">
        <f t="shared" si="10"/>
        <v>0</v>
      </c>
      <c r="U76" s="13">
        <f t="shared" si="11"/>
        <v>2</v>
      </c>
      <c r="V76" s="13">
        <f t="shared" si="12"/>
        <v>0</v>
      </c>
      <c r="W76" s="13">
        <f t="shared" si="13"/>
        <v>8000</v>
      </c>
      <c r="X76" s="13" t="str" cm="1">
        <f t="array" ref="X76">_xlfn.IFS(P76+Q76&gt;Stock!E76,V76,P76+Q76&lt;Stock!E76,"No need",Stock!E76=0,V76,P76+Q76=Stock!E76,"No need")</f>
        <v>No need</v>
      </c>
      <c r="Y76" s="13" t="str" cm="1">
        <f t="array" ref="Y76">_xlfn.IFS(P76+Q76&gt;Stock!E76,W76,P76+Q76&lt;Stock!E76,"No need",Stock!E76=0,W76,P76+Q76=Stock!E76,"No need")</f>
        <v>No need</v>
      </c>
      <c r="Z76" s="13" t="str" cm="1">
        <f t="array" ref="Z76">_xlfn.IFS(ISNUMBER(X76+Y76),X76+Y76,ISTEXT(X76&amp;Y76),"No need")</f>
        <v>No need</v>
      </c>
      <c r="AA76" s="13" t="str" cm="1">
        <f t="array" ref="AA76">_xlfn.IFS(S76*O76&gt;0,S76*O76,S76*O76&lt;0,"No need",S76*O76=0,0)</f>
        <v>No need</v>
      </c>
    </row>
    <row r="77" spans="1:27">
      <c r="A77" s="34">
        <v>75</v>
      </c>
      <c r="B77" s="35" t="s">
        <v>83</v>
      </c>
      <c r="C77" s="35" t="s">
        <v>311</v>
      </c>
      <c r="D77" s="34" t="s">
        <v>172</v>
      </c>
      <c r="E77" s="34" t="s">
        <v>173</v>
      </c>
      <c r="F77" s="34" t="s">
        <v>337</v>
      </c>
      <c r="G77" s="34">
        <v>1</v>
      </c>
      <c r="H77" s="34">
        <v>1</v>
      </c>
      <c r="I77" s="34">
        <v>0</v>
      </c>
      <c r="J77" s="34">
        <v>0</v>
      </c>
      <c r="K77" s="36">
        <v>0</v>
      </c>
      <c r="L77" s="36">
        <v>0</v>
      </c>
      <c r="M77" s="36">
        <v>0</v>
      </c>
      <c r="N77" s="36">
        <v>0</v>
      </c>
      <c r="O77" s="13">
        <v>2000</v>
      </c>
      <c r="P77" s="12">
        <f t="shared" si="7"/>
        <v>1488</v>
      </c>
      <c r="Q77" s="12">
        <f t="shared" si="8"/>
        <v>0</v>
      </c>
      <c r="R77" s="12">
        <f>(P77+Q77)-Stock!E77</f>
        <v>-2485</v>
      </c>
      <c r="S77" s="13">
        <f t="shared" si="9"/>
        <v>-2</v>
      </c>
      <c r="T77" s="13">
        <f t="shared" si="10"/>
        <v>1</v>
      </c>
      <c r="U77" s="13">
        <f t="shared" si="11"/>
        <v>0</v>
      </c>
      <c r="V77" s="13">
        <f t="shared" si="12"/>
        <v>2000</v>
      </c>
      <c r="W77" s="13">
        <f t="shared" si="13"/>
        <v>0</v>
      </c>
      <c r="X77" s="13" t="str" cm="1">
        <f t="array" ref="X77">_xlfn.IFS(P77+Q77&gt;Stock!E77,V77,P77+Q77&lt;Stock!E77,"No need",Stock!E77=0,V77,P77+Q77=Stock!E77,"No need")</f>
        <v>No need</v>
      </c>
      <c r="Y77" s="13" t="str" cm="1">
        <f t="array" ref="Y77">_xlfn.IFS(P77+Q77&gt;Stock!E77,W77,P77+Q77&lt;Stock!E77,"No need",Stock!E77=0,W77,P77+Q77=Stock!E77,"No need")</f>
        <v>No need</v>
      </c>
      <c r="Z77" s="13" t="str" cm="1">
        <f t="array" ref="Z77">_xlfn.IFS(ISNUMBER(X77+Y77),X77+Y77,ISTEXT(X77&amp;Y77),"No need")</f>
        <v>No need</v>
      </c>
      <c r="AA77" s="13" t="str" cm="1">
        <f t="array" ref="AA77">_xlfn.IFS(S77*O77&gt;0,S77*O77,S77*O77&lt;0,"No need",S77*O77=0,0)</f>
        <v>No need</v>
      </c>
    </row>
    <row r="78" spans="1:27">
      <c r="A78" s="34">
        <v>76</v>
      </c>
      <c r="B78" s="35" t="s">
        <v>83</v>
      </c>
      <c r="C78" s="35" t="s">
        <v>311</v>
      </c>
      <c r="D78" s="34" t="s">
        <v>174</v>
      </c>
      <c r="E78" s="34" t="s">
        <v>175</v>
      </c>
      <c r="F78" s="34" t="s">
        <v>337</v>
      </c>
      <c r="G78" s="34">
        <v>2</v>
      </c>
      <c r="H78" s="34">
        <v>2</v>
      </c>
      <c r="I78" s="34">
        <v>0</v>
      </c>
      <c r="J78" s="34">
        <v>0</v>
      </c>
      <c r="K78" s="36">
        <v>0</v>
      </c>
      <c r="L78" s="36">
        <v>0</v>
      </c>
      <c r="M78" s="36">
        <v>0</v>
      </c>
      <c r="N78" s="36">
        <v>0</v>
      </c>
      <c r="O78" s="13">
        <v>1500</v>
      </c>
      <c r="P78" s="12">
        <f t="shared" si="7"/>
        <v>2976</v>
      </c>
      <c r="Q78" s="12">
        <f t="shared" si="8"/>
        <v>0</v>
      </c>
      <c r="R78" s="12">
        <f>(P78+Q78)-Stock!E78</f>
        <v>-720</v>
      </c>
      <c r="S78" s="13">
        <f t="shared" si="9"/>
        <v>-1</v>
      </c>
      <c r="T78" s="13">
        <f t="shared" si="10"/>
        <v>2</v>
      </c>
      <c r="U78" s="13">
        <f t="shared" si="11"/>
        <v>0</v>
      </c>
      <c r="V78" s="13">
        <f t="shared" si="12"/>
        <v>3000</v>
      </c>
      <c r="W78" s="13">
        <f t="shared" si="13"/>
        <v>0</v>
      </c>
      <c r="X78" s="13" t="str" cm="1">
        <f t="array" ref="X78">_xlfn.IFS(P78+Q78&gt;Stock!E78,V78,P78+Q78&lt;Stock!E78,"No need",Stock!E78=0,V78,P78+Q78=Stock!E78,"No need")</f>
        <v>No need</v>
      </c>
      <c r="Y78" s="13" t="str" cm="1">
        <f t="array" ref="Y78">_xlfn.IFS(P78+Q78&gt;Stock!E78,W78,P78+Q78&lt;Stock!E78,"No need",Stock!E78=0,W78,P78+Q78=Stock!E78,"No need")</f>
        <v>No need</v>
      </c>
      <c r="Z78" s="13" t="str" cm="1">
        <f t="array" ref="Z78">_xlfn.IFS(ISNUMBER(X78+Y78),X78+Y78,ISTEXT(X78&amp;Y78),"No need")</f>
        <v>No need</v>
      </c>
      <c r="AA78" s="13" t="str" cm="1">
        <f t="array" ref="AA78">_xlfn.IFS(S78*O78&gt;0,S78*O78,S78*O78&lt;0,"No need",S78*O78=0,0)</f>
        <v>No need</v>
      </c>
    </row>
    <row r="79" spans="1:27">
      <c r="A79" s="34">
        <v>77</v>
      </c>
      <c r="B79" s="35">
        <v>9833988080</v>
      </c>
      <c r="C79" s="35" t="s">
        <v>311</v>
      </c>
      <c r="D79" s="34" t="s">
        <v>176</v>
      </c>
      <c r="E79" s="34" t="s">
        <v>177</v>
      </c>
      <c r="F79" s="34" t="s">
        <v>337</v>
      </c>
      <c r="G79" s="34">
        <v>0</v>
      </c>
      <c r="H79" s="34">
        <v>0</v>
      </c>
      <c r="I79" s="34">
        <v>0</v>
      </c>
      <c r="J79" s="34">
        <v>0</v>
      </c>
      <c r="K79" s="36">
        <v>2</v>
      </c>
      <c r="L79" s="36">
        <v>1</v>
      </c>
      <c r="M79" s="36">
        <v>1</v>
      </c>
      <c r="N79" s="36">
        <v>0</v>
      </c>
      <c r="O79" s="13">
        <v>12000</v>
      </c>
      <c r="P79" s="12">
        <f t="shared" si="7"/>
        <v>0</v>
      </c>
      <c r="Q79" s="12">
        <f t="shared" si="8"/>
        <v>4512</v>
      </c>
      <c r="R79" s="12">
        <f>(P79+Q79)-Stock!E79</f>
        <v>-8153</v>
      </c>
      <c r="S79" s="13">
        <f t="shared" si="9"/>
        <v>-1</v>
      </c>
      <c r="T79" s="13">
        <f t="shared" si="10"/>
        <v>0</v>
      </c>
      <c r="U79" s="13">
        <f t="shared" si="11"/>
        <v>1</v>
      </c>
      <c r="V79" s="13">
        <f t="shared" si="12"/>
        <v>0</v>
      </c>
      <c r="W79" s="13">
        <f t="shared" si="13"/>
        <v>12000</v>
      </c>
      <c r="X79" s="13" t="str" cm="1">
        <f t="array" ref="X79">_xlfn.IFS(P79+Q79&gt;Stock!E79,V79,P79+Q79&lt;Stock!E79,"No need",Stock!E79=0,V79,P79+Q79=Stock!E79,"No need")</f>
        <v>No need</v>
      </c>
      <c r="Y79" s="13" t="str" cm="1">
        <f t="array" ref="Y79">_xlfn.IFS(P79+Q79&gt;Stock!E79,W79,P79+Q79&lt;Stock!E79,"No need",Stock!E79=0,W79,P79+Q79=Stock!E79,"No need")</f>
        <v>No need</v>
      </c>
      <c r="Z79" s="13" t="str" cm="1">
        <f t="array" ref="Z79">_xlfn.IFS(ISNUMBER(X79+Y79),X79+Y79,ISTEXT(X79&amp;Y79),"No need")</f>
        <v>No need</v>
      </c>
      <c r="AA79" s="13" t="str" cm="1">
        <f t="array" ref="AA79">_xlfn.IFS(S79*O79&gt;0,S79*O79,S79*O79&lt;0,"No need",S79*O79=0,0)</f>
        <v>No need</v>
      </c>
    </row>
    <row r="80" spans="1:27">
      <c r="A80" s="34">
        <v>78</v>
      </c>
      <c r="B80" s="35">
        <v>9834251280</v>
      </c>
      <c r="C80" s="35" t="s">
        <v>311</v>
      </c>
      <c r="D80" s="34" t="s">
        <v>178</v>
      </c>
      <c r="E80" s="34" t="s">
        <v>179</v>
      </c>
      <c r="F80" s="34" t="s">
        <v>337</v>
      </c>
      <c r="G80" s="34">
        <v>1</v>
      </c>
      <c r="H80" s="34">
        <v>0</v>
      </c>
      <c r="I80" s="34">
        <v>0</v>
      </c>
      <c r="J80" s="34">
        <v>1</v>
      </c>
      <c r="K80" s="36">
        <v>1</v>
      </c>
      <c r="L80" s="36">
        <v>0</v>
      </c>
      <c r="M80" s="36">
        <v>0</v>
      </c>
      <c r="N80" s="36">
        <v>1</v>
      </c>
      <c r="O80" s="13">
        <v>10000</v>
      </c>
      <c r="P80" s="12">
        <f t="shared" si="7"/>
        <v>1488</v>
      </c>
      <c r="Q80" s="12">
        <f t="shared" si="8"/>
        <v>2256</v>
      </c>
      <c r="R80" s="12">
        <f>(P80+Q80)-Stock!E80</f>
        <v>-6143</v>
      </c>
      <c r="S80" s="13">
        <f t="shared" si="9"/>
        <v>-1</v>
      </c>
      <c r="T80" s="13">
        <f t="shared" si="10"/>
        <v>1</v>
      </c>
      <c r="U80" s="13">
        <f t="shared" si="11"/>
        <v>1</v>
      </c>
      <c r="V80" s="13">
        <f t="shared" si="12"/>
        <v>10000</v>
      </c>
      <c r="W80" s="13">
        <f t="shared" si="13"/>
        <v>10000</v>
      </c>
      <c r="X80" s="13" t="str" cm="1">
        <f t="array" ref="X80">_xlfn.IFS(P80+Q80&gt;Stock!E80,V80,P80+Q80&lt;Stock!E80,"No need",Stock!E80=0,V80,P80+Q80=Stock!E80,"No need")</f>
        <v>No need</v>
      </c>
      <c r="Y80" s="13" t="str" cm="1">
        <f t="array" ref="Y80">_xlfn.IFS(P80+Q80&gt;Stock!E80,W80,P80+Q80&lt;Stock!E80,"No need",Stock!E80=0,W80,P80+Q80=Stock!E80,"No need")</f>
        <v>No need</v>
      </c>
      <c r="Z80" s="13" t="str" cm="1">
        <f t="array" ref="Z80">_xlfn.IFS(ISNUMBER(X80+Y80),X80+Y80,ISTEXT(X80&amp;Y80),"No need")</f>
        <v>No need</v>
      </c>
      <c r="AA80" s="13" t="str" cm="1">
        <f t="array" ref="AA80">_xlfn.IFS(S80*O80&gt;0,S80*O80,S80*O80&lt;0,"No need",S80*O80=0,0)</f>
        <v>No need</v>
      </c>
    </row>
    <row r="81" spans="1:27">
      <c r="A81" s="34">
        <v>79</v>
      </c>
      <c r="B81" s="35">
        <v>9834251480</v>
      </c>
      <c r="C81" s="35" t="s">
        <v>311</v>
      </c>
      <c r="D81" s="34" t="s">
        <v>180</v>
      </c>
      <c r="E81" s="34" t="s">
        <v>181</v>
      </c>
      <c r="F81" s="34" t="s">
        <v>337</v>
      </c>
      <c r="G81" s="34">
        <v>1</v>
      </c>
      <c r="H81" s="34">
        <v>0</v>
      </c>
      <c r="I81" s="34">
        <v>0</v>
      </c>
      <c r="J81" s="34">
        <v>1</v>
      </c>
      <c r="K81" s="36">
        <v>1</v>
      </c>
      <c r="L81" s="36">
        <v>0</v>
      </c>
      <c r="M81" s="36">
        <v>0</v>
      </c>
      <c r="N81" s="36">
        <v>1</v>
      </c>
      <c r="O81" s="13">
        <v>10000</v>
      </c>
      <c r="P81" s="12">
        <f t="shared" si="7"/>
        <v>1488</v>
      </c>
      <c r="Q81" s="12">
        <f t="shared" si="8"/>
        <v>2256</v>
      </c>
      <c r="R81" s="12">
        <f>(P81+Q81)-Stock!E81</f>
        <v>-6143</v>
      </c>
      <c r="S81" s="13">
        <f t="shared" si="9"/>
        <v>-1</v>
      </c>
      <c r="T81" s="13">
        <f t="shared" si="10"/>
        <v>1</v>
      </c>
      <c r="U81" s="13">
        <f t="shared" si="11"/>
        <v>1</v>
      </c>
      <c r="V81" s="13">
        <f t="shared" si="12"/>
        <v>10000</v>
      </c>
      <c r="W81" s="13">
        <f t="shared" si="13"/>
        <v>10000</v>
      </c>
      <c r="X81" s="13" t="str" cm="1">
        <f t="array" ref="X81">_xlfn.IFS(P81+Q81&gt;Stock!E81,V81,P81+Q81&lt;Stock!E81,"No need",Stock!E81=0,V81,P81+Q81=Stock!E81,"No need")</f>
        <v>No need</v>
      </c>
      <c r="Y81" s="13" t="str" cm="1">
        <f t="array" ref="Y81">_xlfn.IFS(P81+Q81&gt;Stock!E81,W81,P81+Q81&lt;Stock!E81,"No need",Stock!E81=0,W81,P81+Q81=Stock!E81,"No need")</f>
        <v>No need</v>
      </c>
      <c r="Z81" s="13" t="str" cm="1">
        <f t="array" ref="Z81">_xlfn.IFS(ISNUMBER(X81+Y81),X81+Y81,ISTEXT(X81&amp;Y81),"No need")</f>
        <v>No need</v>
      </c>
      <c r="AA81" s="13" t="str" cm="1">
        <f t="array" ref="AA81">_xlfn.IFS(S81*O81&gt;0,S81*O81,S81*O81&lt;0,"No need",S81*O81=0,0)</f>
        <v>No need</v>
      </c>
    </row>
    <row r="82" spans="1:27">
      <c r="A82" s="34">
        <v>80</v>
      </c>
      <c r="B82" s="35">
        <v>9834863880</v>
      </c>
      <c r="C82" s="35" t="s">
        <v>311</v>
      </c>
      <c r="D82" s="34" t="s">
        <v>182</v>
      </c>
      <c r="E82" s="34" t="s">
        <v>183</v>
      </c>
      <c r="F82" s="34" t="s">
        <v>337</v>
      </c>
      <c r="G82" s="34">
        <v>1</v>
      </c>
      <c r="H82" s="34">
        <v>0</v>
      </c>
      <c r="I82" s="34">
        <v>0</v>
      </c>
      <c r="J82" s="34">
        <v>1</v>
      </c>
      <c r="K82" s="36">
        <v>1</v>
      </c>
      <c r="L82" s="36">
        <v>0</v>
      </c>
      <c r="M82" s="36">
        <v>0</v>
      </c>
      <c r="N82" s="36">
        <v>1</v>
      </c>
      <c r="O82" s="13">
        <v>10000</v>
      </c>
      <c r="P82" s="12">
        <f t="shared" si="7"/>
        <v>1488</v>
      </c>
      <c r="Q82" s="12">
        <f t="shared" si="8"/>
        <v>2256</v>
      </c>
      <c r="R82" s="12">
        <f>(P82+Q82)-Stock!E82</f>
        <v>-6143</v>
      </c>
      <c r="S82" s="13">
        <f t="shared" si="9"/>
        <v>-1</v>
      </c>
      <c r="T82" s="13">
        <f t="shared" si="10"/>
        <v>1</v>
      </c>
      <c r="U82" s="13">
        <f t="shared" si="11"/>
        <v>1</v>
      </c>
      <c r="V82" s="13">
        <f t="shared" si="12"/>
        <v>10000</v>
      </c>
      <c r="W82" s="13">
        <f t="shared" si="13"/>
        <v>10000</v>
      </c>
      <c r="X82" s="13" t="str" cm="1">
        <f t="array" ref="X82">_xlfn.IFS(P82+Q82&gt;Stock!E82,V82,P82+Q82&lt;Stock!E82,"No need",Stock!E82=0,V82,P82+Q82=Stock!E82,"No need")</f>
        <v>No need</v>
      </c>
      <c r="Y82" s="13" t="str" cm="1">
        <f t="array" ref="Y82">_xlfn.IFS(P82+Q82&gt;Stock!E82,W82,P82+Q82&lt;Stock!E82,"No need",Stock!E82=0,W82,P82+Q82=Stock!E82,"No need")</f>
        <v>No need</v>
      </c>
      <c r="Z82" s="13" t="str" cm="1">
        <f t="array" ref="Z82">_xlfn.IFS(ISNUMBER(X82+Y82),X82+Y82,ISTEXT(X82&amp;Y82),"No need")</f>
        <v>No need</v>
      </c>
      <c r="AA82" s="13" t="str" cm="1">
        <f t="array" ref="AA82">_xlfn.IFS(S82*O82&gt;0,S82*O82,S82*O82&lt;0,"No need",S82*O82=0,0)</f>
        <v>No need</v>
      </c>
    </row>
    <row r="83" spans="1:27">
      <c r="A83" s="34">
        <v>81</v>
      </c>
      <c r="B83" s="68">
        <v>9813529380</v>
      </c>
      <c r="C83" s="68" t="s">
        <v>311</v>
      </c>
      <c r="D83" s="67" t="s">
        <v>184</v>
      </c>
      <c r="E83" s="67" t="s">
        <v>387</v>
      </c>
      <c r="F83" s="67" t="s">
        <v>337</v>
      </c>
      <c r="G83" s="67">
        <v>2</v>
      </c>
      <c r="H83" s="34">
        <v>1</v>
      </c>
      <c r="I83" s="34">
        <v>1</v>
      </c>
      <c r="J83" s="34">
        <v>0</v>
      </c>
      <c r="K83" s="36">
        <v>2</v>
      </c>
      <c r="L83" s="36">
        <v>1</v>
      </c>
      <c r="M83" s="36">
        <v>1</v>
      </c>
      <c r="N83" s="36">
        <v>0</v>
      </c>
      <c r="O83" s="13">
        <v>1260</v>
      </c>
      <c r="P83" s="12">
        <f t="shared" si="7"/>
        <v>2976</v>
      </c>
      <c r="Q83" s="12">
        <f t="shared" si="8"/>
        <v>4512</v>
      </c>
      <c r="R83" s="12">
        <f>(P83+Q83)-Stock!E83</f>
        <v>1450</v>
      </c>
      <c r="S83" s="13">
        <f t="shared" si="9"/>
        <v>2</v>
      </c>
      <c r="T83" s="13">
        <f t="shared" si="10"/>
        <v>3</v>
      </c>
      <c r="U83" s="13">
        <f t="shared" si="11"/>
        <v>4</v>
      </c>
      <c r="V83" s="13">
        <f t="shared" si="12"/>
        <v>3780</v>
      </c>
      <c r="W83" s="13">
        <f t="shared" si="13"/>
        <v>5040</v>
      </c>
      <c r="X83" s="13" cm="1">
        <f t="array" ref="X83">_xlfn.IFS(P83+Q83&gt;Stock!E83,V83,P83+Q83&lt;Stock!E83,"No need",Stock!E83=0,V83,P83+Q83=Stock!E83,"No need")</f>
        <v>3780</v>
      </c>
      <c r="Y83" s="13" cm="1">
        <f t="array" ref="Y83">_xlfn.IFS(P83+Q83&gt;Stock!E83,W83,P83+Q83&lt;Stock!E83,"No need",Stock!E83=0,W83,P83+Q83=Stock!E83,"No need")</f>
        <v>5040</v>
      </c>
      <c r="Z83" s="13" cm="1">
        <f t="array" ref="Z83">_xlfn.IFS(ISNUMBER(X83+Y83),X83+Y83,ISTEXT(X83&amp;Y83),"No need")</f>
        <v>8820</v>
      </c>
      <c r="AA83" s="13" cm="1">
        <f t="array" ref="AA83">_xlfn.IFS(S83*O83&gt;0,S83*O83,S83*O83&lt;0,"No need",S83*O83=0,0)</f>
        <v>2520</v>
      </c>
    </row>
    <row r="84" spans="1:27">
      <c r="A84" s="34">
        <v>82</v>
      </c>
      <c r="B84" s="35">
        <v>9854562380</v>
      </c>
      <c r="C84" s="35" t="s">
        <v>311</v>
      </c>
      <c r="D84" s="34" t="s">
        <v>185</v>
      </c>
      <c r="E84" s="34" t="s">
        <v>186</v>
      </c>
      <c r="F84" s="34" t="s">
        <v>337</v>
      </c>
      <c r="G84" s="34">
        <v>1</v>
      </c>
      <c r="H84" s="34">
        <v>1</v>
      </c>
      <c r="I84" s="34">
        <v>0</v>
      </c>
      <c r="J84" s="34">
        <v>0</v>
      </c>
      <c r="K84" s="36">
        <v>1</v>
      </c>
      <c r="L84" s="36">
        <v>1</v>
      </c>
      <c r="M84" s="36">
        <v>0</v>
      </c>
      <c r="N84" s="36">
        <v>0</v>
      </c>
      <c r="O84" s="13">
        <v>500</v>
      </c>
      <c r="P84" s="12">
        <f t="shared" si="7"/>
        <v>1488</v>
      </c>
      <c r="Q84" s="12">
        <f t="shared" si="8"/>
        <v>2256</v>
      </c>
      <c r="R84" s="12">
        <f>(P84+Q84)-Stock!E84</f>
        <v>384</v>
      </c>
      <c r="S84" s="13">
        <f t="shared" si="9"/>
        <v>1</v>
      </c>
      <c r="T84" s="13">
        <f t="shared" si="10"/>
        <v>3</v>
      </c>
      <c r="U84" s="13">
        <f t="shared" si="11"/>
        <v>5</v>
      </c>
      <c r="V84" s="13">
        <f t="shared" si="12"/>
        <v>1500</v>
      </c>
      <c r="W84" s="13">
        <f t="shared" si="13"/>
        <v>2500</v>
      </c>
      <c r="X84" s="13" cm="1">
        <f t="array" ref="X84">_xlfn.IFS(P84+Q84&gt;Stock!E84,V84,P84+Q84&lt;Stock!E84,"No need",Stock!E84=0,V84,P84+Q84=Stock!E84,"No need")</f>
        <v>1500</v>
      </c>
      <c r="Y84" s="13" cm="1">
        <f t="array" ref="Y84">_xlfn.IFS(P84+Q84&gt;Stock!E84,W84,P84+Q84&lt;Stock!E84,"No need",Stock!E84=0,W84,P84+Q84=Stock!E84,"No need")</f>
        <v>2500</v>
      </c>
      <c r="Z84" s="13" cm="1">
        <f t="array" ref="Z84">_xlfn.IFS(ISNUMBER(X84+Y84),X84+Y84,ISTEXT(X84&amp;Y84),"No need")</f>
        <v>4000</v>
      </c>
      <c r="AA84" s="13" cm="1">
        <f t="array" ref="AA84">_xlfn.IFS(S84*O84&gt;0,S84*O84,S84*O84&lt;0,"No need",S84*O84=0,0)</f>
        <v>500</v>
      </c>
    </row>
    <row r="85" spans="1:27">
      <c r="A85" s="34">
        <v>83</v>
      </c>
      <c r="B85" s="35">
        <v>9854562680</v>
      </c>
      <c r="C85" s="35" t="s">
        <v>311</v>
      </c>
      <c r="D85" s="34" t="s">
        <v>187</v>
      </c>
      <c r="E85" s="34" t="s">
        <v>188</v>
      </c>
      <c r="F85" s="34" t="s">
        <v>337</v>
      </c>
      <c r="G85" s="34">
        <v>1</v>
      </c>
      <c r="H85" s="34">
        <v>0</v>
      </c>
      <c r="I85" s="34">
        <v>1</v>
      </c>
      <c r="J85" s="34">
        <v>0</v>
      </c>
      <c r="K85" s="36">
        <v>1</v>
      </c>
      <c r="L85" s="36">
        <v>0</v>
      </c>
      <c r="M85" s="36">
        <v>1</v>
      </c>
      <c r="N85" s="36">
        <v>0</v>
      </c>
      <c r="O85" s="13">
        <v>500</v>
      </c>
      <c r="P85" s="12">
        <f t="shared" si="7"/>
        <v>1488</v>
      </c>
      <c r="Q85" s="12">
        <f t="shared" si="8"/>
        <v>2256</v>
      </c>
      <c r="R85" s="12">
        <f>(P85+Q85)-Stock!E85</f>
        <v>393</v>
      </c>
      <c r="S85" s="13">
        <f t="shared" si="9"/>
        <v>1</v>
      </c>
      <c r="T85" s="13">
        <f t="shared" si="10"/>
        <v>3</v>
      </c>
      <c r="U85" s="13">
        <f t="shared" si="11"/>
        <v>5</v>
      </c>
      <c r="V85" s="13">
        <f t="shared" si="12"/>
        <v>1500</v>
      </c>
      <c r="W85" s="13">
        <f t="shared" si="13"/>
        <v>2500</v>
      </c>
      <c r="X85" s="13" cm="1">
        <f t="array" ref="X85">_xlfn.IFS(P85+Q85&gt;Stock!E85,V85,P85+Q85&lt;Stock!E85,"No need",Stock!E85=0,V85,P85+Q85=Stock!E85,"No need")</f>
        <v>1500</v>
      </c>
      <c r="Y85" s="13" cm="1">
        <f t="array" ref="Y85">_xlfn.IFS(P85+Q85&gt;Stock!E85,W85,P85+Q85&lt;Stock!E85,"No need",Stock!E85=0,W85,P85+Q85=Stock!E85,"No need")</f>
        <v>2500</v>
      </c>
      <c r="Z85" s="13" cm="1">
        <f t="array" ref="Z85">_xlfn.IFS(ISNUMBER(X85+Y85),X85+Y85,ISTEXT(X85&amp;Y85),"No need")</f>
        <v>4000</v>
      </c>
      <c r="AA85" s="13" cm="1">
        <f t="array" ref="AA85">_xlfn.IFS(S85*O85&gt;0,S85*O85,S85*O85&lt;0,"No need",S85*O85=0,0)</f>
        <v>500</v>
      </c>
    </row>
    <row r="86" spans="1:27">
      <c r="A86" s="34">
        <v>84</v>
      </c>
      <c r="B86" s="35">
        <v>9837729480</v>
      </c>
      <c r="C86" s="35" t="s">
        <v>311</v>
      </c>
      <c r="D86" s="34" t="s">
        <v>189</v>
      </c>
      <c r="E86" s="34" t="s">
        <v>190</v>
      </c>
      <c r="F86" s="34" t="s">
        <v>337</v>
      </c>
      <c r="G86" s="34">
        <v>1</v>
      </c>
      <c r="H86" s="34">
        <v>0</v>
      </c>
      <c r="I86" s="34">
        <v>0</v>
      </c>
      <c r="J86" s="34">
        <v>1</v>
      </c>
      <c r="K86" s="36">
        <v>1</v>
      </c>
      <c r="L86" s="36">
        <v>0</v>
      </c>
      <c r="M86" s="36">
        <v>0</v>
      </c>
      <c r="N86" s="36">
        <v>1</v>
      </c>
      <c r="O86" s="13">
        <v>320</v>
      </c>
      <c r="P86" s="12">
        <f t="shared" si="7"/>
        <v>1488</v>
      </c>
      <c r="Q86" s="12">
        <f t="shared" si="8"/>
        <v>2256</v>
      </c>
      <c r="R86" s="12">
        <f>(P86+Q86)-Stock!E86</f>
        <v>1027</v>
      </c>
      <c r="S86" s="13">
        <f t="shared" si="9"/>
        <v>4</v>
      </c>
      <c r="T86" s="13">
        <f t="shared" si="10"/>
        <v>5</v>
      </c>
      <c r="U86" s="13">
        <f t="shared" si="11"/>
        <v>8</v>
      </c>
      <c r="V86" s="13">
        <f t="shared" si="12"/>
        <v>1600</v>
      </c>
      <c r="W86" s="13">
        <f t="shared" si="13"/>
        <v>2560</v>
      </c>
      <c r="X86" s="13" cm="1">
        <f t="array" ref="X86">_xlfn.IFS(P86+Q86&gt;Stock!E86,V86,P86+Q86&lt;Stock!E86,"No need",Stock!E86=0,V86,P86+Q86=Stock!E86,"No need")</f>
        <v>1600</v>
      </c>
      <c r="Y86" s="13" cm="1">
        <f t="array" ref="Y86">_xlfn.IFS(P86+Q86&gt;Stock!E86,W86,P86+Q86&lt;Stock!E86,"No need",Stock!E86=0,W86,P86+Q86=Stock!E86,"No need")</f>
        <v>2560</v>
      </c>
      <c r="Z86" s="13" cm="1">
        <f t="array" ref="Z86">_xlfn.IFS(ISNUMBER(X86+Y86),X86+Y86,ISTEXT(X86&amp;Y86),"No need")</f>
        <v>4160</v>
      </c>
      <c r="AA86" s="13" cm="1">
        <f t="array" ref="AA86">_xlfn.IFS(S86*O86&gt;0,S86*O86,S86*O86&lt;0,"No need",S86*O86=0,0)</f>
        <v>1280</v>
      </c>
    </row>
    <row r="87" spans="1:27">
      <c r="A87" s="34">
        <v>85</v>
      </c>
      <c r="B87" s="35" t="s">
        <v>83</v>
      </c>
      <c r="C87" s="35" t="s">
        <v>311</v>
      </c>
      <c r="D87" s="38" t="s">
        <v>295</v>
      </c>
      <c r="E87" s="34" t="s">
        <v>296</v>
      </c>
      <c r="F87" s="34" t="s">
        <v>337</v>
      </c>
      <c r="G87" s="34">
        <v>2</v>
      </c>
      <c r="H87" s="34">
        <v>0</v>
      </c>
      <c r="I87" s="34">
        <v>0</v>
      </c>
      <c r="J87" s="34">
        <v>2</v>
      </c>
      <c r="K87" s="36">
        <v>2</v>
      </c>
      <c r="L87" s="36">
        <v>0</v>
      </c>
      <c r="M87" s="36">
        <v>0</v>
      </c>
      <c r="N87" s="34">
        <v>2</v>
      </c>
      <c r="O87" s="13">
        <v>4000</v>
      </c>
      <c r="P87" s="12">
        <f t="shared" si="7"/>
        <v>2976</v>
      </c>
      <c r="Q87" s="12">
        <f t="shared" si="8"/>
        <v>4512</v>
      </c>
      <c r="R87" s="12">
        <f>(P87+Q87)-Stock!E87</f>
        <v>-210</v>
      </c>
      <c r="S87" s="13">
        <f t="shared" si="9"/>
        <v>-1</v>
      </c>
      <c r="T87" s="13">
        <f t="shared" si="10"/>
        <v>1</v>
      </c>
      <c r="U87" s="13">
        <f t="shared" si="11"/>
        <v>2</v>
      </c>
      <c r="V87" s="13">
        <f t="shared" si="12"/>
        <v>4000</v>
      </c>
      <c r="W87" s="13">
        <f t="shared" si="13"/>
        <v>8000</v>
      </c>
      <c r="X87" s="13" t="str" cm="1">
        <f t="array" ref="X87">_xlfn.IFS(P87+Q87&gt;Stock!E87,V87,P87+Q87&lt;Stock!E87,"No need",Stock!E87=0,V87,P87+Q87=Stock!E87,"No need")</f>
        <v>No need</v>
      </c>
      <c r="Y87" s="13" t="str" cm="1">
        <f t="array" ref="Y87">_xlfn.IFS(P87+Q87&gt;Stock!E87,W87,P87+Q87&lt;Stock!E87,"No need",Stock!E87=0,W87,P87+Q87=Stock!E87,"No need")</f>
        <v>No need</v>
      </c>
      <c r="Z87" s="13" t="str" cm="1">
        <f t="array" ref="Z87">_xlfn.IFS(ISNUMBER(X87+Y87),X87+Y87,ISTEXT(X87&amp;Y87),"No need")</f>
        <v>No need</v>
      </c>
      <c r="AA87" s="13" t="str" cm="1">
        <f t="array" ref="AA87">_xlfn.IFS(S87*O87&gt;0,S87*O87,S87*O87&lt;0,"No need",S87*O87=0,0)</f>
        <v>No need</v>
      </c>
    </row>
    <row r="88" spans="1:27">
      <c r="A88" s="34">
        <v>86</v>
      </c>
      <c r="B88" s="35" t="s">
        <v>83</v>
      </c>
      <c r="C88" s="35" t="s">
        <v>311</v>
      </c>
      <c r="D88" s="38" t="s">
        <v>297</v>
      </c>
      <c r="E88" s="34" t="s">
        <v>300</v>
      </c>
      <c r="F88" s="34" t="s">
        <v>337</v>
      </c>
      <c r="G88" s="34">
        <v>1</v>
      </c>
      <c r="H88" s="34">
        <v>0</v>
      </c>
      <c r="I88" s="34">
        <v>0</v>
      </c>
      <c r="J88" s="34">
        <v>1</v>
      </c>
      <c r="K88" s="36">
        <v>1</v>
      </c>
      <c r="L88" s="36">
        <v>0</v>
      </c>
      <c r="M88" s="36">
        <v>0</v>
      </c>
      <c r="N88" s="34">
        <v>1</v>
      </c>
      <c r="O88" s="13">
        <v>1000</v>
      </c>
      <c r="P88" s="12">
        <f t="shared" si="7"/>
        <v>1488</v>
      </c>
      <c r="Q88" s="12">
        <f t="shared" si="8"/>
        <v>2256</v>
      </c>
      <c r="R88" s="12">
        <f>(P88+Q88)-Stock!E88</f>
        <v>895</v>
      </c>
      <c r="S88" s="13">
        <f t="shared" si="9"/>
        <v>1</v>
      </c>
      <c r="T88" s="13">
        <f t="shared" si="10"/>
        <v>2</v>
      </c>
      <c r="U88" s="13">
        <f t="shared" si="11"/>
        <v>3</v>
      </c>
      <c r="V88" s="13">
        <f t="shared" si="12"/>
        <v>2000</v>
      </c>
      <c r="W88" s="13">
        <f t="shared" si="13"/>
        <v>3000</v>
      </c>
      <c r="X88" s="13" cm="1">
        <f t="array" ref="X88">_xlfn.IFS(P88+Q88&gt;Stock!E88,V88,P88+Q88&lt;Stock!E88,"No need",Stock!E88=0,V88,P88+Q88=Stock!E88,"No need")</f>
        <v>2000</v>
      </c>
      <c r="Y88" s="13" cm="1">
        <f t="array" ref="Y88">_xlfn.IFS(P88+Q88&gt;Stock!E88,W88,P88+Q88&lt;Stock!E88,"No need",Stock!E88=0,W88,P88+Q88=Stock!E88,"No need")</f>
        <v>3000</v>
      </c>
      <c r="Z88" s="13" cm="1">
        <f t="array" ref="Z88">_xlfn.IFS(ISNUMBER(X88+Y88),X88+Y88,ISTEXT(X88&amp;Y88),"No need")</f>
        <v>5000</v>
      </c>
      <c r="AA88" s="13" cm="1">
        <f t="array" ref="AA88">_xlfn.IFS(S88*O88&gt;0,S88*O88,S88*O88&lt;0,"No need",S88*O88=0,0)</f>
        <v>1000</v>
      </c>
    </row>
    <row r="89" spans="1:27">
      <c r="A89" s="34">
        <v>87</v>
      </c>
      <c r="B89" s="35" t="s">
        <v>83</v>
      </c>
      <c r="C89" s="35" t="s">
        <v>311</v>
      </c>
      <c r="D89" s="38">
        <v>4370075</v>
      </c>
      <c r="E89" s="34" t="s">
        <v>301</v>
      </c>
      <c r="F89" s="34" t="s">
        <v>337</v>
      </c>
      <c r="G89" s="34">
        <v>1</v>
      </c>
      <c r="H89" s="34">
        <v>0</v>
      </c>
      <c r="I89" s="34">
        <v>0</v>
      </c>
      <c r="J89" s="34">
        <v>1</v>
      </c>
      <c r="K89" s="36">
        <v>1</v>
      </c>
      <c r="L89" s="36">
        <v>0</v>
      </c>
      <c r="M89" s="36">
        <v>0</v>
      </c>
      <c r="N89" s="34">
        <v>1</v>
      </c>
      <c r="O89" s="13">
        <v>600</v>
      </c>
      <c r="P89" s="12">
        <f t="shared" si="7"/>
        <v>1488</v>
      </c>
      <c r="Q89" s="12">
        <f t="shared" si="8"/>
        <v>2256</v>
      </c>
      <c r="R89" s="12">
        <f>(P89+Q89)-Stock!E89</f>
        <v>965</v>
      </c>
      <c r="S89" s="13">
        <f t="shared" si="9"/>
        <v>2</v>
      </c>
      <c r="T89" s="13">
        <f t="shared" si="10"/>
        <v>3</v>
      </c>
      <c r="U89" s="13">
        <f t="shared" si="11"/>
        <v>4</v>
      </c>
      <c r="V89" s="13">
        <f t="shared" si="12"/>
        <v>1800</v>
      </c>
      <c r="W89" s="13">
        <f t="shared" si="13"/>
        <v>2400</v>
      </c>
      <c r="X89" s="13" cm="1">
        <f t="array" ref="X89">_xlfn.IFS(P89+Q89&gt;Stock!E89,V89,P89+Q89&lt;Stock!E89,"No need",Stock!E89=0,V89,P89+Q89=Stock!E89,"No need")</f>
        <v>1800</v>
      </c>
      <c r="Y89" s="13" cm="1">
        <f t="array" ref="Y89">_xlfn.IFS(P89+Q89&gt;Stock!E89,W89,P89+Q89&lt;Stock!E89,"No need",Stock!E89=0,W89,P89+Q89=Stock!E89,"No need")</f>
        <v>2400</v>
      </c>
      <c r="Z89" s="13" cm="1">
        <f t="array" ref="Z89">_xlfn.IFS(ISNUMBER(X89+Y89),X89+Y89,ISTEXT(X89&amp;Y89),"No need")</f>
        <v>4200</v>
      </c>
      <c r="AA89" s="13" cm="1">
        <f t="array" ref="AA89">_xlfn.IFS(S89*O89&gt;0,S89*O89,S89*O89&lt;0,"No need",S89*O89=0,0)</f>
        <v>1200</v>
      </c>
    </row>
    <row r="90" spans="1:27" ht="28.8">
      <c r="A90" s="34">
        <v>88</v>
      </c>
      <c r="B90" s="19" t="s">
        <v>191</v>
      </c>
      <c r="C90" s="19" t="s">
        <v>312</v>
      </c>
      <c r="D90" s="11" t="s">
        <v>192</v>
      </c>
      <c r="E90" s="20" t="s">
        <v>193</v>
      </c>
      <c r="F90" s="20" t="s">
        <v>337</v>
      </c>
      <c r="G90" s="11">
        <v>1</v>
      </c>
      <c r="H90" s="34"/>
      <c r="I90" s="11">
        <v>1</v>
      </c>
      <c r="J90" s="11"/>
      <c r="K90" s="7">
        <v>0</v>
      </c>
      <c r="L90" s="7"/>
      <c r="M90" s="7"/>
      <c r="N90" s="7"/>
      <c r="O90" s="13">
        <v>3</v>
      </c>
      <c r="P90" s="12">
        <f t="shared" si="7"/>
        <v>1488</v>
      </c>
      <c r="Q90" s="12">
        <f t="shared" si="8"/>
        <v>0</v>
      </c>
      <c r="R90" s="12">
        <f>(P90+Q90)-Stock!E90</f>
        <v>1488</v>
      </c>
      <c r="S90" s="13">
        <f t="shared" si="9"/>
        <v>496</v>
      </c>
      <c r="T90" s="13">
        <f t="shared" si="10"/>
        <v>496</v>
      </c>
      <c r="U90" s="13">
        <f t="shared" si="11"/>
        <v>0</v>
      </c>
      <c r="V90" s="13">
        <f t="shared" si="12"/>
        <v>1488</v>
      </c>
      <c r="W90" s="13">
        <f t="shared" si="13"/>
        <v>0</v>
      </c>
      <c r="X90" s="13" cm="1">
        <f t="array" ref="X90">_xlfn.IFS(P90+Q90&gt;Stock!E90,V90,P90+Q90&lt;Stock!E90,"No need",Stock!E90=0,V90,P90+Q90=Stock!E90,"No need")</f>
        <v>1488</v>
      </c>
      <c r="Y90" s="13" cm="1">
        <f t="array" ref="Y90">_xlfn.IFS(P90+Q90&gt;Stock!E90,W90,P90+Q90&lt;Stock!E90,"No need",Stock!E90=0,W90,P90+Q90=Stock!E90,"No need")</f>
        <v>0</v>
      </c>
      <c r="Z90" s="13" cm="1">
        <f t="array" ref="Z90">_xlfn.IFS(ISNUMBER(X90+Y90),X90+Y90,ISTEXT(X90&amp;Y90),"No need")</f>
        <v>1488</v>
      </c>
      <c r="AA90" s="13" cm="1">
        <f t="array" ref="AA90">_xlfn.IFS(S90*O90&gt;0,S90*O90,S90*O90&lt;0,"No need",S90*O90=0,0)</f>
        <v>1488</v>
      </c>
    </row>
    <row r="91" spans="1:27">
      <c r="A91" s="34">
        <v>89</v>
      </c>
      <c r="B91" s="19" t="s">
        <v>194</v>
      </c>
      <c r="C91" s="19" t="s">
        <v>312</v>
      </c>
      <c r="D91" s="21" t="s">
        <v>195</v>
      </c>
      <c r="E91" s="11" t="s">
        <v>196</v>
      </c>
      <c r="F91" s="20" t="s">
        <v>337</v>
      </c>
      <c r="G91" s="11">
        <v>1</v>
      </c>
      <c r="H91" s="34">
        <v>1</v>
      </c>
      <c r="I91" s="11"/>
      <c r="J91" s="11"/>
      <c r="K91" s="7">
        <v>0</v>
      </c>
      <c r="L91" s="7"/>
      <c r="M91" s="7"/>
      <c r="N91" s="7"/>
      <c r="O91" s="13">
        <v>3</v>
      </c>
      <c r="P91" s="12">
        <f t="shared" si="7"/>
        <v>1488</v>
      </c>
      <c r="Q91" s="12">
        <f t="shared" si="8"/>
        <v>0</v>
      </c>
      <c r="R91" s="12">
        <f>(P91+Q91)-Stock!E91</f>
        <v>1488</v>
      </c>
      <c r="S91" s="13">
        <f t="shared" si="9"/>
        <v>496</v>
      </c>
      <c r="T91" s="13">
        <f t="shared" si="10"/>
        <v>496</v>
      </c>
      <c r="U91" s="13">
        <f t="shared" si="11"/>
        <v>0</v>
      </c>
      <c r="V91" s="13">
        <f t="shared" si="12"/>
        <v>1488</v>
      </c>
      <c r="W91" s="13">
        <f t="shared" si="13"/>
        <v>0</v>
      </c>
      <c r="X91" s="13" cm="1">
        <f t="array" ref="X91">_xlfn.IFS(P91+Q91&gt;Stock!E91,V91,P91+Q91&lt;Stock!E91,"No need",Stock!E91=0,V91,P91+Q91=Stock!E91,"No need")</f>
        <v>1488</v>
      </c>
      <c r="Y91" s="13" cm="1">
        <f t="array" ref="Y91">_xlfn.IFS(P91+Q91&gt;Stock!E91,W91,P91+Q91&lt;Stock!E91,"No need",Stock!E91=0,W91,P91+Q91=Stock!E91,"No need")</f>
        <v>0</v>
      </c>
      <c r="Z91" s="13" cm="1">
        <f t="array" ref="Z91">_xlfn.IFS(ISNUMBER(X91+Y91),X91+Y91,ISTEXT(X91&amp;Y91),"No need")</f>
        <v>1488</v>
      </c>
      <c r="AA91" s="13" cm="1">
        <f t="array" ref="AA91">_xlfn.IFS(S91*O91&gt;0,S91*O91,S91*O91&lt;0,"No need",S91*O91=0,0)</f>
        <v>1488</v>
      </c>
    </row>
    <row r="92" spans="1:27">
      <c r="A92" s="34">
        <v>90</v>
      </c>
      <c r="B92" s="19" t="s">
        <v>197</v>
      </c>
      <c r="C92" s="19" t="s">
        <v>312</v>
      </c>
      <c r="D92" s="21" t="s">
        <v>198</v>
      </c>
      <c r="E92" s="11" t="s">
        <v>199</v>
      </c>
      <c r="F92" s="20" t="s">
        <v>337</v>
      </c>
      <c r="G92" s="11">
        <v>0</v>
      </c>
      <c r="H92" s="34"/>
      <c r="I92" s="11"/>
      <c r="J92" s="11"/>
      <c r="K92" s="7">
        <v>1</v>
      </c>
      <c r="L92" s="7">
        <v>1</v>
      </c>
      <c r="M92" s="7"/>
      <c r="N92" s="7"/>
      <c r="O92" s="13">
        <v>3</v>
      </c>
      <c r="P92" s="12">
        <f t="shared" si="7"/>
        <v>0</v>
      </c>
      <c r="Q92" s="12">
        <f t="shared" si="8"/>
        <v>2256</v>
      </c>
      <c r="R92" s="12">
        <f>(P92+Q92)-Stock!E92</f>
        <v>2256</v>
      </c>
      <c r="S92" s="13">
        <f t="shared" si="9"/>
        <v>752</v>
      </c>
      <c r="T92" s="13">
        <f t="shared" si="10"/>
        <v>0</v>
      </c>
      <c r="U92" s="13">
        <f t="shared" si="11"/>
        <v>752</v>
      </c>
      <c r="V92" s="13">
        <f t="shared" si="12"/>
        <v>0</v>
      </c>
      <c r="W92" s="13">
        <f t="shared" si="13"/>
        <v>2256</v>
      </c>
      <c r="X92" s="13" cm="1">
        <f t="array" ref="X92">_xlfn.IFS(P92+Q92&gt;Stock!E92,V92,P92+Q92&lt;Stock!E92,"No need",Stock!E92=0,V92,P92+Q92=Stock!E92,"No need")</f>
        <v>0</v>
      </c>
      <c r="Y92" s="13" cm="1">
        <f t="array" ref="Y92">_xlfn.IFS(P92+Q92&gt;Stock!E92,W92,P92+Q92&lt;Stock!E92,"No need",Stock!E92=0,W92,P92+Q92=Stock!E92,"No need")</f>
        <v>2256</v>
      </c>
      <c r="Z92" s="13" cm="1">
        <f t="array" ref="Z92">_xlfn.IFS(ISNUMBER(X92+Y92),X92+Y92,ISTEXT(X92&amp;Y92),"No need")</f>
        <v>2256</v>
      </c>
      <c r="AA92" s="13" cm="1">
        <f t="array" ref="AA92">_xlfn.IFS(S92*O92&gt;0,S92*O92,S92*O92&lt;0,"No need",S92*O92=0,0)</f>
        <v>2256</v>
      </c>
    </row>
    <row r="93" spans="1:27">
      <c r="A93" s="34">
        <v>91</v>
      </c>
      <c r="B93" s="19" t="s">
        <v>200</v>
      </c>
      <c r="C93" s="19" t="s">
        <v>312</v>
      </c>
      <c r="D93" s="21" t="s">
        <v>201</v>
      </c>
      <c r="E93" s="11" t="s">
        <v>202</v>
      </c>
      <c r="F93" s="20" t="s">
        <v>337</v>
      </c>
      <c r="G93" s="11">
        <v>0</v>
      </c>
      <c r="H93" s="34"/>
      <c r="I93" s="11"/>
      <c r="J93" s="11"/>
      <c r="K93" s="7">
        <v>1</v>
      </c>
      <c r="L93" s="7"/>
      <c r="M93" s="7">
        <v>1</v>
      </c>
      <c r="N93" s="7"/>
      <c r="O93" s="13">
        <v>3</v>
      </c>
      <c r="P93" s="12">
        <f t="shared" si="7"/>
        <v>0</v>
      </c>
      <c r="Q93" s="12">
        <f t="shared" si="8"/>
        <v>2256</v>
      </c>
      <c r="R93" s="12">
        <f>(P93+Q93)-Stock!E93</f>
        <v>2256</v>
      </c>
      <c r="S93" s="13">
        <f t="shared" si="9"/>
        <v>752</v>
      </c>
      <c r="T93" s="13">
        <f t="shared" si="10"/>
        <v>0</v>
      </c>
      <c r="U93" s="13">
        <f t="shared" si="11"/>
        <v>752</v>
      </c>
      <c r="V93" s="13">
        <f t="shared" si="12"/>
        <v>0</v>
      </c>
      <c r="W93" s="13">
        <f t="shared" si="13"/>
        <v>2256</v>
      </c>
      <c r="X93" s="13" cm="1">
        <f t="array" ref="X93">_xlfn.IFS(P93+Q93&gt;Stock!E93,V93,P93+Q93&lt;Stock!E93,"No need",Stock!E93=0,V93,P93+Q93=Stock!E93,"No need")</f>
        <v>0</v>
      </c>
      <c r="Y93" s="13" cm="1">
        <f t="array" ref="Y93">_xlfn.IFS(P93+Q93&gt;Stock!E93,W93,P93+Q93&lt;Stock!E93,"No need",Stock!E93=0,W93,P93+Q93=Stock!E93,"No need")</f>
        <v>2256</v>
      </c>
      <c r="Z93" s="13" cm="1">
        <f t="array" ref="Z93">_xlfn.IFS(ISNUMBER(X93+Y93),X93+Y93,ISTEXT(X93&amp;Y93),"No need")</f>
        <v>2256</v>
      </c>
      <c r="AA93" s="13" cm="1">
        <f t="array" ref="AA93">_xlfn.IFS(S93*O93&gt;0,S93*O93,S93*O93&lt;0,"No need",S93*O93=0,0)</f>
        <v>2256</v>
      </c>
    </row>
    <row r="94" spans="1:27">
      <c r="A94" s="97">
        <v>92</v>
      </c>
      <c r="B94" s="98" t="s">
        <v>83</v>
      </c>
      <c r="C94" s="98" t="s">
        <v>312</v>
      </c>
      <c r="D94" s="102" t="s">
        <v>339</v>
      </c>
      <c r="E94" s="102" t="s">
        <v>203</v>
      </c>
      <c r="F94" s="20" t="s">
        <v>337</v>
      </c>
      <c r="G94" s="7">
        <v>1</v>
      </c>
      <c r="H94" s="34"/>
      <c r="I94" s="7"/>
      <c r="J94" s="7"/>
      <c r="K94" s="7"/>
      <c r="L94" s="7"/>
      <c r="M94" s="7"/>
      <c r="N94" s="7"/>
      <c r="O94" s="13">
        <v>3</v>
      </c>
      <c r="P94" s="12">
        <f t="shared" si="7"/>
        <v>1488</v>
      </c>
      <c r="Q94" s="12">
        <f t="shared" si="8"/>
        <v>0</v>
      </c>
      <c r="R94" s="12">
        <f>(P94+Q94)-Stock!E94</f>
        <v>1488</v>
      </c>
      <c r="S94" s="13">
        <f t="shared" si="9"/>
        <v>496</v>
      </c>
      <c r="T94" s="13">
        <f t="shared" si="10"/>
        <v>496</v>
      </c>
      <c r="U94" s="13">
        <f t="shared" si="11"/>
        <v>0</v>
      </c>
      <c r="V94" s="13">
        <f t="shared" si="12"/>
        <v>1488</v>
      </c>
      <c r="W94" s="13">
        <f t="shared" si="13"/>
        <v>0</v>
      </c>
      <c r="X94" s="13" cm="1">
        <f t="array" ref="X94">_xlfn.IFS(P94+Q94&gt;Stock!E94,V94,P94+Q94&lt;Stock!E94,"No need",Stock!E94=0,V94,P94+Q94=Stock!E94,"No need")</f>
        <v>1488</v>
      </c>
      <c r="Y94" s="13" cm="1">
        <f t="array" ref="Y94">_xlfn.IFS(P94+Q94&gt;Stock!E94,W94,P94+Q94&lt;Stock!E94,"No need",Stock!E94=0,W94,P94+Q94=Stock!E94,"No need")</f>
        <v>0</v>
      </c>
      <c r="Z94" s="13" cm="1">
        <f t="array" ref="Z94">_xlfn.IFS(ISNUMBER(X94+Y94),X94+Y94,ISTEXT(X94&amp;Y94),"No need")</f>
        <v>1488</v>
      </c>
      <c r="AA94" s="13" cm="1">
        <f t="array" ref="AA94">_xlfn.IFS(S94*O94&gt;0,S94*O94,S94*O94&lt;0,"No need",S94*O94=0,0)</f>
        <v>1488</v>
      </c>
    </row>
    <row r="95" spans="1:27">
      <c r="A95" s="97">
        <v>93</v>
      </c>
      <c r="B95" s="98" t="s">
        <v>83</v>
      </c>
      <c r="C95" s="98" t="s">
        <v>312</v>
      </c>
      <c r="D95" s="102" t="s">
        <v>340</v>
      </c>
      <c r="E95" s="102" t="s">
        <v>204</v>
      </c>
      <c r="F95" s="20" t="s">
        <v>337</v>
      </c>
      <c r="G95" s="7">
        <v>1</v>
      </c>
      <c r="H95" s="34"/>
      <c r="I95" s="7"/>
      <c r="J95" s="7"/>
      <c r="K95" s="7"/>
      <c r="L95" s="7"/>
      <c r="M95" s="7"/>
      <c r="N95" s="7"/>
      <c r="O95" s="13">
        <v>3</v>
      </c>
      <c r="P95" s="12">
        <f t="shared" si="7"/>
        <v>1488</v>
      </c>
      <c r="Q95" s="12">
        <f t="shared" si="8"/>
        <v>0</v>
      </c>
      <c r="R95" s="12">
        <f>(P95+Q95)-Stock!E95</f>
        <v>1488</v>
      </c>
      <c r="S95" s="13">
        <f t="shared" si="9"/>
        <v>496</v>
      </c>
      <c r="T95" s="13">
        <f t="shared" si="10"/>
        <v>496</v>
      </c>
      <c r="U95" s="13">
        <f t="shared" si="11"/>
        <v>0</v>
      </c>
      <c r="V95" s="13">
        <f t="shared" si="12"/>
        <v>1488</v>
      </c>
      <c r="W95" s="13">
        <f t="shared" si="13"/>
        <v>0</v>
      </c>
      <c r="X95" s="13" cm="1">
        <f t="array" ref="X95">_xlfn.IFS(P95+Q95&gt;Stock!E95,V95,P95+Q95&lt;Stock!E95,"No need",Stock!E95=0,V95,P95+Q95=Stock!E95,"No need")</f>
        <v>1488</v>
      </c>
      <c r="Y95" s="13" cm="1">
        <f t="array" ref="Y95">_xlfn.IFS(P95+Q95&gt;Stock!E95,W95,P95+Q95&lt;Stock!E95,"No need",Stock!E95=0,W95,P95+Q95=Stock!E95,"No need")</f>
        <v>0</v>
      </c>
      <c r="Z95" s="13" cm="1">
        <f t="array" ref="Z95">_xlfn.IFS(ISNUMBER(X95+Y95),X95+Y95,ISTEXT(X95&amp;Y95),"No need")</f>
        <v>1488</v>
      </c>
      <c r="AA95" s="13" cm="1">
        <f t="array" ref="AA95">_xlfn.IFS(S95*O95&gt;0,S95*O95,S95*O95&lt;0,"No need",S95*O95=0,0)</f>
        <v>1488</v>
      </c>
    </row>
    <row r="96" spans="1:27">
      <c r="A96" s="97">
        <v>94</v>
      </c>
      <c r="B96" s="98" t="s">
        <v>83</v>
      </c>
      <c r="C96" s="98" t="s">
        <v>312</v>
      </c>
      <c r="D96" s="102" t="s">
        <v>341</v>
      </c>
      <c r="E96" s="102" t="s">
        <v>205</v>
      </c>
      <c r="F96" s="20" t="s">
        <v>337</v>
      </c>
      <c r="G96" s="7">
        <v>1</v>
      </c>
      <c r="H96" s="34"/>
      <c r="I96" s="7"/>
      <c r="J96" s="7"/>
      <c r="K96" s="7"/>
      <c r="L96" s="7"/>
      <c r="M96" s="7"/>
      <c r="N96" s="7"/>
      <c r="O96" s="13">
        <v>3</v>
      </c>
      <c r="P96" s="12">
        <f t="shared" si="7"/>
        <v>1488</v>
      </c>
      <c r="Q96" s="12">
        <f t="shared" si="8"/>
        <v>0</v>
      </c>
      <c r="R96" s="12">
        <f>(P96+Q96)-Stock!E96</f>
        <v>1488</v>
      </c>
      <c r="S96" s="13">
        <f t="shared" si="9"/>
        <v>496</v>
      </c>
      <c r="T96" s="13">
        <f t="shared" si="10"/>
        <v>496</v>
      </c>
      <c r="U96" s="13">
        <f t="shared" si="11"/>
        <v>0</v>
      </c>
      <c r="V96" s="13">
        <f t="shared" si="12"/>
        <v>1488</v>
      </c>
      <c r="W96" s="13">
        <f t="shared" si="13"/>
        <v>0</v>
      </c>
      <c r="X96" s="13" cm="1">
        <f t="array" ref="X96">_xlfn.IFS(P96+Q96&gt;Stock!E96,V96,P96+Q96&lt;Stock!E96,"No need",Stock!E96=0,V96,P96+Q96=Stock!E96,"No need")</f>
        <v>1488</v>
      </c>
      <c r="Y96" s="13" cm="1">
        <f t="array" ref="Y96">_xlfn.IFS(P96+Q96&gt;Stock!E96,W96,P96+Q96&lt;Stock!E96,"No need",Stock!E96=0,W96,P96+Q96=Stock!E96,"No need")</f>
        <v>0</v>
      </c>
      <c r="Z96" s="13" cm="1">
        <f t="array" ref="Z96">_xlfn.IFS(ISNUMBER(X96+Y96),X96+Y96,ISTEXT(X96&amp;Y96),"No need")</f>
        <v>1488</v>
      </c>
      <c r="AA96" s="13" cm="1">
        <f t="array" ref="AA96">_xlfn.IFS(S96*O96&gt;0,S96*O96,S96*O96&lt;0,"No need",S96*O96=0,0)</f>
        <v>1488</v>
      </c>
    </row>
    <row r="97" spans="1:27">
      <c r="A97" s="97">
        <v>95</v>
      </c>
      <c r="B97" s="98" t="s">
        <v>83</v>
      </c>
      <c r="C97" s="98" t="s">
        <v>312</v>
      </c>
      <c r="D97" s="102" t="s">
        <v>342</v>
      </c>
      <c r="E97" s="102" t="s">
        <v>206</v>
      </c>
      <c r="F97" s="20" t="s">
        <v>337</v>
      </c>
      <c r="G97" s="7">
        <v>1</v>
      </c>
      <c r="H97" s="34"/>
      <c r="I97" s="7"/>
      <c r="J97" s="7"/>
      <c r="K97" s="7"/>
      <c r="L97" s="7"/>
      <c r="M97" s="7"/>
      <c r="N97" s="7"/>
      <c r="O97" s="13">
        <v>3</v>
      </c>
      <c r="P97" s="12">
        <f t="shared" si="7"/>
        <v>1488</v>
      </c>
      <c r="Q97" s="12">
        <f t="shared" si="8"/>
        <v>0</v>
      </c>
      <c r="R97" s="12">
        <f>(P97+Q97)-Stock!E97</f>
        <v>1488</v>
      </c>
      <c r="S97" s="13">
        <f t="shared" si="9"/>
        <v>496</v>
      </c>
      <c r="T97" s="13">
        <f t="shared" si="10"/>
        <v>496</v>
      </c>
      <c r="U97" s="13">
        <f t="shared" si="11"/>
        <v>0</v>
      </c>
      <c r="V97" s="13">
        <f t="shared" si="12"/>
        <v>1488</v>
      </c>
      <c r="W97" s="13">
        <f t="shared" si="13"/>
        <v>0</v>
      </c>
      <c r="X97" s="13" cm="1">
        <f t="array" ref="X97">_xlfn.IFS(P97+Q97&gt;Stock!E97,V97,P97+Q97&lt;Stock!E97,"No need",Stock!E97=0,V97,P97+Q97=Stock!E97,"No need")</f>
        <v>1488</v>
      </c>
      <c r="Y97" s="13" cm="1">
        <f t="array" ref="Y97">_xlfn.IFS(P97+Q97&gt;Stock!E97,W97,P97+Q97&lt;Stock!E97,"No need",Stock!E97=0,W97,P97+Q97=Stock!E97,"No need")</f>
        <v>0</v>
      </c>
      <c r="Z97" s="13" cm="1">
        <f t="array" ref="Z97">_xlfn.IFS(ISNUMBER(X97+Y97),X97+Y97,ISTEXT(X97&amp;Y97),"No need")</f>
        <v>1488</v>
      </c>
      <c r="AA97" s="13" cm="1">
        <f t="array" ref="AA97">_xlfn.IFS(S97*O97&gt;0,S97*O97,S97*O97&lt;0,"No need",S97*O97=0,0)</f>
        <v>1488</v>
      </c>
    </row>
    <row r="98" spans="1:27">
      <c r="A98" s="97">
        <v>96</v>
      </c>
      <c r="B98" s="98" t="s">
        <v>83</v>
      </c>
      <c r="C98" s="98" t="s">
        <v>312</v>
      </c>
      <c r="D98" s="102" t="s">
        <v>343</v>
      </c>
      <c r="E98" s="102" t="s">
        <v>207</v>
      </c>
      <c r="F98" s="20" t="s">
        <v>337</v>
      </c>
      <c r="G98" s="7">
        <v>1</v>
      </c>
      <c r="H98" s="34"/>
      <c r="I98" s="7"/>
      <c r="J98" s="7"/>
      <c r="K98" s="7"/>
      <c r="L98" s="7"/>
      <c r="M98" s="7"/>
      <c r="N98" s="7"/>
      <c r="O98" s="13">
        <v>3</v>
      </c>
      <c r="P98" s="12">
        <f t="shared" si="7"/>
        <v>1488</v>
      </c>
      <c r="Q98" s="12">
        <f t="shared" si="8"/>
        <v>0</v>
      </c>
      <c r="R98" s="12">
        <f>(P98+Q98)-Stock!E98</f>
        <v>1488</v>
      </c>
      <c r="S98" s="13">
        <f t="shared" si="9"/>
        <v>496</v>
      </c>
      <c r="T98" s="13">
        <f t="shared" si="10"/>
        <v>496</v>
      </c>
      <c r="U98" s="13">
        <f t="shared" si="11"/>
        <v>0</v>
      </c>
      <c r="V98" s="13">
        <f t="shared" si="12"/>
        <v>1488</v>
      </c>
      <c r="W98" s="13">
        <f t="shared" si="13"/>
        <v>0</v>
      </c>
      <c r="X98" s="13" cm="1">
        <f t="array" ref="X98">_xlfn.IFS(P98+Q98&gt;Stock!E98,V98,P98+Q98&lt;Stock!E98,"No need",Stock!E98=0,V98,P98+Q98=Stock!E98,"No need")</f>
        <v>1488</v>
      </c>
      <c r="Y98" s="13" cm="1">
        <f t="array" ref="Y98">_xlfn.IFS(P98+Q98&gt;Stock!E98,W98,P98+Q98&lt;Stock!E98,"No need",Stock!E98=0,W98,P98+Q98=Stock!E98,"No need")</f>
        <v>0</v>
      </c>
      <c r="Z98" s="13" cm="1">
        <f t="array" ref="Z98">_xlfn.IFS(ISNUMBER(X98+Y98),X98+Y98,ISTEXT(X98&amp;Y98),"No need")</f>
        <v>1488</v>
      </c>
      <c r="AA98" s="13" cm="1">
        <f t="array" ref="AA98">_xlfn.IFS(S98*O98&gt;0,S98*O98,S98*O98&lt;0,"No need",S98*O98=0,0)</f>
        <v>1488</v>
      </c>
    </row>
    <row r="99" spans="1:27">
      <c r="A99" s="97">
        <v>97</v>
      </c>
      <c r="B99" s="98" t="s">
        <v>83</v>
      </c>
      <c r="C99" s="98" t="s">
        <v>312</v>
      </c>
      <c r="D99" s="102" t="s">
        <v>344</v>
      </c>
      <c r="E99" s="102" t="s">
        <v>208</v>
      </c>
      <c r="F99" s="20" t="s">
        <v>337</v>
      </c>
      <c r="G99" s="7"/>
      <c r="H99" s="34"/>
      <c r="I99" s="7"/>
      <c r="J99" s="7"/>
      <c r="K99" s="7">
        <v>1</v>
      </c>
      <c r="L99" s="7"/>
      <c r="M99" s="7"/>
      <c r="N99" s="7"/>
      <c r="O99" s="13">
        <v>3</v>
      </c>
      <c r="P99" s="12">
        <f t="shared" si="7"/>
        <v>0</v>
      </c>
      <c r="Q99" s="12">
        <f t="shared" si="8"/>
        <v>2256</v>
      </c>
      <c r="R99" s="12">
        <f>(P99+Q99)-Stock!E99</f>
        <v>2256</v>
      </c>
      <c r="S99" s="13">
        <f t="shared" si="9"/>
        <v>752</v>
      </c>
      <c r="T99" s="13">
        <f t="shared" si="10"/>
        <v>0</v>
      </c>
      <c r="U99" s="13">
        <f t="shared" si="11"/>
        <v>752</v>
      </c>
      <c r="V99" s="13">
        <f t="shared" si="12"/>
        <v>0</v>
      </c>
      <c r="W99" s="13">
        <f t="shared" si="13"/>
        <v>2256</v>
      </c>
      <c r="X99" s="13" cm="1">
        <f t="array" ref="X99">_xlfn.IFS(P99+Q99&gt;Stock!E99,V99,P99+Q99&lt;Stock!E99,"No need",Stock!E99=0,V99,P99+Q99=Stock!E99,"No need")</f>
        <v>0</v>
      </c>
      <c r="Y99" s="13" cm="1">
        <f t="array" ref="Y99">_xlfn.IFS(P99+Q99&gt;Stock!E99,W99,P99+Q99&lt;Stock!E99,"No need",Stock!E99=0,W99,P99+Q99=Stock!E99,"No need")</f>
        <v>2256</v>
      </c>
      <c r="Z99" s="13" cm="1">
        <f t="array" ref="Z99">_xlfn.IFS(ISNUMBER(X99+Y99),X99+Y99,ISTEXT(X99&amp;Y99),"No need")</f>
        <v>2256</v>
      </c>
      <c r="AA99" s="13" cm="1">
        <f t="array" ref="AA99">_xlfn.IFS(S99*O99&gt;0,S99*O99,S99*O99&lt;0,"No need",S99*O99=0,0)</f>
        <v>2256</v>
      </c>
    </row>
    <row r="100" spans="1:27">
      <c r="A100" s="97">
        <v>98</v>
      </c>
      <c r="B100" s="98" t="s">
        <v>83</v>
      </c>
      <c r="C100" s="98" t="s">
        <v>312</v>
      </c>
      <c r="D100" s="102" t="s">
        <v>345</v>
      </c>
      <c r="E100" s="102" t="s">
        <v>209</v>
      </c>
      <c r="F100" s="20" t="s">
        <v>337</v>
      </c>
      <c r="G100" s="7"/>
      <c r="H100" s="34"/>
      <c r="I100" s="7"/>
      <c r="J100" s="7"/>
      <c r="K100" s="7">
        <v>1</v>
      </c>
      <c r="L100" s="7"/>
      <c r="M100" s="7"/>
      <c r="N100" s="7"/>
      <c r="O100" s="13">
        <v>3</v>
      </c>
      <c r="P100" s="12">
        <f t="shared" si="7"/>
        <v>0</v>
      </c>
      <c r="Q100" s="12">
        <f t="shared" si="8"/>
        <v>2256</v>
      </c>
      <c r="R100" s="12">
        <f>(P100+Q100)-Stock!E100</f>
        <v>2256</v>
      </c>
      <c r="S100" s="13">
        <f t="shared" si="9"/>
        <v>752</v>
      </c>
      <c r="T100" s="13">
        <f>ROUNDUP($P$2/O100*G100,0)</f>
        <v>0</v>
      </c>
      <c r="U100" s="13">
        <f t="shared" si="11"/>
        <v>752</v>
      </c>
      <c r="V100" s="13">
        <f t="shared" si="12"/>
        <v>0</v>
      </c>
      <c r="W100" s="13">
        <f t="shared" si="13"/>
        <v>2256</v>
      </c>
      <c r="X100" s="13" cm="1">
        <f t="array" ref="X100">_xlfn.IFS(P100+Q100&gt;Stock!E100,V100,P100+Q100&lt;Stock!E100,"No need",Stock!E100=0,V100,P100+Q100=Stock!E100,"No need")</f>
        <v>0</v>
      </c>
      <c r="Y100" s="13" cm="1">
        <f t="array" ref="Y100">_xlfn.IFS(P100+Q100&gt;Stock!E100,W100,P100+Q100&lt;Stock!E100,"No need",Stock!E100=0,W100,P100+Q100=Stock!E100,"No need")</f>
        <v>2256</v>
      </c>
      <c r="Z100" s="13" cm="1">
        <f t="array" ref="Z100">_xlfn.IFS(ISNUMBER(X100+Y100),X100+Y100,ISTEXT(X100&amp;Y100),"No need")</f>
        <v>2256</v>
      </c>
      <c r="AA100" s="13" cm="1">
        <f t="array" ref="AA100">_xlfn.IFS(S100*O100&gt;0,S100*O100,S100*O100&lt;0,"No need",S100*O100=0,0)</f>
        <v>2256</v>
      </c>
    </row>
    <row r="101" spans="1:27">
      <c r="A101" s="97">
        <v>99</v>
      </c>
      <c r="B101" s="98" t="s">
        <v>83</v>
      </c>
      <c r="C101" s="98" t="s">
        <v>312</v>
      </c>
      <c r="D101" s="102" t="s">
        <v>346</v>
      </c>
      <c r="E101" s="102" t="s">
        <v>210</v>
      </c>
      <c r="F101" s="20" t="s">
        <v>337</v>
      </c>
      <c r="G101" s="7"/>
      <c r="H101" s="34"/>
      <c r="I101" s="7"/>
      <c r="J101" s="7"/>
      <c r="K101" s="7">
        <v>1</v>
      </c>
      <c r="L101" s="7"/>
      <c r="M101" s="7"/>
      <c r="N101" s="7"/>
      <c r="O101" s="13">
        <v>3</v>
      </c>
      <c r="P101" s="12">
        <f t="shared" si="7"/>
        <v>0</v>
      </c>
      <c r="Q101" s="12">
        <f t="shared" si="8"/>
        <v>2256</v>
      </c>
      <c r="R101" s="12">
        <f>(P101+Q101)-Stock!E101</f>
        <v>2256</v>
      </c>
      <c r="S101" s="13">
        <f t="shared" si="9"/>
        <v>752</v>
      </c>
      <c r="T101" s="13">
        <f t="shared" si="10"/>
        <v>0</v>
      </c>
      <c r="U101" s="13">
        <f t="shared" si="11"/>
        <v>752</v>
      </c>
      <c r="V101" s="13">
        <f t="shared" si="12"/>
        <v>0</v>
      </c>
      <c r="W101" s="13">
        <f t="shared" si="13"/>
        <v>2256</v>
      </c>
      <c r="X101" s="13" cm="1">
        <f t="array" ref="X101">_xlfn.IFS(P101+Q101&gt;Stock!E101,V101,P101+Q101&lt;Stock!E101,"No need",Stock!E101=0,V101,P101+Q101=Stock!E101,"No need")</f>
        <v>0</v>
      </c>
      <c r="Y101" s="13" cm="1">
        <f t="array" ref="Y101">_xlfn.IFS(P101+Q101&gt;Stock!E101,W101,P101+Q101&lt;Stock!E101,"No need",Stock!E101=0,W101,P101+Q101=Stock!E101,"No need")</f>
        <v>2256</v>
      </c>
      <c r="Z101" s="13" cm="1">
        <f t="array" ref="Z101">_xlfn.IFS(ISNUMBER(X101+Y101),X101+Y101,ISTEXT(X101&amp;Y101),"No need")</f>
        <v>2256</v>
      </c>
      <c r="AA101" s="13" cm="1">
        <f t="array" ref="AA101">_xlfn.IFS(S101*O101&gt;0,S101*O101,S101*O101&lt;0,"No need",S101*O101=0,0)</f>
        <v>2256</v>
      </c>
    </row>
    <row r="102" spans="1:27">
      <c r="A102" s="97">
        <v>100</v>
      </c>
      <c r="B102" s="98" t="s">
        <v>83</v>
      </c>
      <c r="C102" s="98" t="s">
        <v>312</v>
      </c>
      <c r="D102" s="102" t="s">
        <v>347</v>
      </c>
      <c r="E102" s="102" t="s">
        <v>211</v>
      </c>
      <c r="F102" s="20" t="s">
        <v>337</v>
      </c>
      <c r="G102" s="7"/>
      <c r="H102" s="34"/>
      <c r="I102" s="7"/>
      <c r="J102" s="7"/>
      <c r="K102" s="7">
        <v>1</v>
      </c>
      <c r="L102" s="7"/>
      <c r="M102" s="7"/>
      <c r="N102" s="7"/>
      <c r="O102" s="13">
        <v>3</v>
      </c>
      <c r="P102" s="12">
        <f t="shared" si="7"/>
        <v>0</v>
      </c>
      <c r="Q102" s="12">
        <f t="shared" si="8"/>
        <v>2256</v>
      </c>
      <c r="R102" s="12">
        <f>(P102+Q102)-Stock!E102</f>
        <v>2256</v>
      </c>
      <c r="S102" s="13">
        <f t="shared" si="9"/>
        <v>752</v>
      </c>
      <c r="T102" s="13">
        <f t="shared" si="10"/>
        <v>0</v>
      </c>
      <c r="U102" s="13">
        <f t="shared" si="11"/>
        <v>752</v>
      </c>
      <c r="V102" s="13">
        <f t="shared" si="12"/>
        <v>0</v>
      </c>
      <c r="W102" s="13">
        <f t="shared" si="13"/>
        <v>2256</v>
      </c>
      <c r="X102" s="13" cm="1">
        <f t="array" ref="X102">_xlfn.IFS(P102+Q102&gt;Stock!E102,V102,P102+Q102&lt;Stock!E102,"No need",Stock!E102=0,V102,P102+Q102=Stock!E102,"No need")</f>
        <v>0</v>
      </c>
      <c r="Y102" s="13" cm="1">
        <f t="array" ref="Y102">_xlfn.IFS(P102+Q102&gt;Stock!E102,W102,P102+Q102&lt;Stock!E102,"No need",Stock!E102=0,W102,P102+Q102=Stock!E102,"No need")</f>
        <v>2256</v>
      </c>
      <c r="Z102" s="13" cm="1">
        <f t="array" ref="Z102">_xlfn.IFS(ISNUMBER(X102+Y102),X102+Y102,ISTEXT(X102&amp;Y102),"No need")</f>
        <v>2256</v>
      </c>
      <c r="AA102" s="13" cm="1">
        <f t="array" ref="AA102">_xlfn.IFS(S102*O102&gt;0,S102*O102,S102*O102&lt;0,"No need",S102*O102=0,0)</f>
        <v>2256</v>
      </c>
    </row>
    <row r="103" spans="1:27">
      <c r="A103" s="97">
        <v>101</v>
      </c>
      <c r="B103" s="98" t="s">
        <v>83</v>
      </c>
      <c r="C103" s="98" t="s">
        <v>312</v>
      </c>
      <c r="D103" s="102" t="s">
        <v>348</v>
      </c>
      <c r="E103" s="102" t="s">
        <v>212</v>
      </c>
      <c r="F103" s="20" t="s">
        <v>337</v>
      </c>
      <c r="G103" s="7"/>
      <c r="H103" s="34"/>
      <c r="I103" s="7"/>
      <c r="J103" s="7"/>
      <c r="K103" s="7">
        <v>1</v>
      </c>
      <c r="L103" s="7"/>
      <c r="M103" s="7"/>
      <c r="N103" s="7"/>
      <c r="O103" s="13">
        <v>3</v>
      </c>
      <c r="P103" s="12">
        <f t="shared" si="7"/>
        <v>0</v>
      </c>
      <c r="Q103" s="12">
        <f t="shared" si="8"/>
        <v>2256</v>
      </c>
      <c r="R103" s="12">
        <f>(P103+Q103)-Stock!E103</f>
        <v>2256</v>
      </c>
      <c r="S103" s="13">
        <f t="shared" si="9"/>
        <v>752</v>
      </c>
      <c r="T103" s="13">
        <f t="shared" si="10"/>
        <v>0</v>
      </c>
      <c r="U103" s="13">
        <f t="shared" si="11"/>
        <v>752</v>
      </c>
      <c r="V103" s="13">
        <f t="shared" si="12"/>
        <v>0</v>
      </c>
      <c r="W103" s="13">
        <f t="shared" si="13"/>
        <v>2256</v>
      </c>
      <c r="X103" s="13" cm="1">
        <f t="array" ref="X103">_xlfn.IFS(P103+Q103&gt;Stock!E103,V103,P103+Q103&lt;Stock!E103,"No need",Stock!E103=0,V103,P103+Q103=Stock!E103,"No need")</f>
        <v>0</v>
      </c>
      <c r="Y103" s="13" cm="1">
        <f t="array" ref="Y103">_xlfn.IFS(P103+Q103&gt;Stock!E103,W103,P103+Q103&lt;Stock!E103,"No need",Stock!E103=0,W103,P103+Q103=Stock!E103,"No need")</f>
        <v>2256</v>
      </c>
      <c r="Z103" s="13" cm="1">
        <f t="array" ref="Z103">_xlfn.IFS(ISNUMBER(X103+Y103),X103+Y103,ISTEXT(X103&amp;Y103),"No need")</f>
        <v>2256</v>
      </c>
      <c r="AA103" s="13" cm="1">
        <f t="array" ref="AA103">_xlfn.IFS(S103*O103&gt;0,S103*O103,S103*O103&lt;0,"No need",S103*O103=0,0)</f>
        <v>2256</v>
      </c>
    </row>
    <row r="104" spans="1:27">
      <c r="A104" s="97">
        <v>102</v>
      </c>
      <c r="B104" s="98" t="s">
        <v>83</v>
      </c>
      <c r="C104" s="98" t="s">
        <v>312</v>
      </c>
      <c r="D104" s="103" t="s">
        <v>213</v>
      </c>
      <c r="E104" s="104" t="s">
        <v>214</v>
      </c>
      <c r="F104" s="20" t="s">
        <v>337</v>
      </c>
      <c r="G104" s="22">
        <v>8</v>
      </c>
      <c r="H104" s="34"/>
      <c r="I104" s="22"/>
      <c r="J104" s="22"/>
      <c r="K104" s="22">
        <v>8</v>
      </c>
      <c r="L104" s="22"/>
      <c r="M104" s="22"/>
      <c r="N104" s="22"/>
      <c r="O104" s="23">
        <v>144000</v>
      </c>
      <c r="P104" s="12">
        <f t="shared" si="7"/>
        <v>11904</v>
      </c>
      <c r="Q104" s="12">
        <f t="shared" si="8"/>
        <v>18048</v>
      </c>
      <c r="R104" s="12">
        <f>(P104+Q104)-Stock!E104</f>
        <v>29952</v>
      </c>
      <c r="S104" s="13">
        <f t="shared" si="9"/>
        <v>1</v>
      </c>
      <c r="T104" s="13">
        <f t="shared" si="10"/>
        <v>1</v>
      </c>
      <c r="U104" s="13">
        <f t="shared" si="11"/>
        <v>1</v>
      </c>
      <c r="V104" s="13">
        <f t="shared" si="12"/>
        <v>144000</v>
      </c>
      <c r="W104" s="13">
        <f t="shared" si="13"/>
        <v>144000</v>
      </c>
      <c r="X104" s="13" cm="1">
        <f t="array" ref="X104">_xlfn.IFS(P104+Q104&gt;Stock!E104,V104,P104+Q104&lt;Stock!E104,"No need",Stock!E104=0,V104,P104+Q104=Stock!E104,"No need")</f>
        <v>144000</v>
      </c>
      <c r="Y104" s="13" cm="1">
        <f t="array" ref="Y104">_xlfn.IFS(P104+Q104&gt;Stock!E104,W104,P104+Q104&lt;Stock!E104,"No need",Stock!E104=0,W104,P104+Q104=Stock!E104,"No need")</f>
        <v>144000</v>
      </c>
      <c r="Z104" s="13" cm="1">
        <f t="array" ref="Z104">_xlfn.IFS(ISNUMBER(X104+Y104),X104+Y104,ISTEXT(X104&amp;Y104),"No need")</f>
        <v>288000</v>
      </c>
      <c r="AA104" s="13" cm="1">
        <f t="array" ref="AA104">_xlfn.IFS(S104*O104&gt;0,S104*O104,S104*O104&lt;0,"No need",S104*O104=0,0)</f>
        <v>144000</v>
      </c>
    </row>
    <row r="105" spans="1:27">
      <c r="A105" s="34">
        <v>103</v>
      </c>
      <c r="B105" s="19" t="s">
        <v>83</v>
      </c>
      <c r="C105" s="19" t="s">
        <v>312</v>
      </c>
      <c r="D105" s="9" t="s">
        <v>215</v>
      </c>
      <c r="E105" s="10" t="s">
        <v>216</v>
      </c>
      <c r="F105" s="20" t="s">
        <v>337</v>
      </c>
      <c r="G105" s="22">
        <v>2</v>
      </c>
      <c r="H105" s="34"/>
      <c r="I105" s="22"/>
      <c r="J105" s="22"/>
      <c r="K105" s="22">
        <v>2</v>
      </c>
      <c r="L105" s="22"/>
      <c r="M105" s="22"/>
      <c r="N105" s="22"/>
      <c r="O105" s="23">
        <v>36000</v>
      </c>
      <c r="P105" s="12">
        <f t="shared" si="7"/>
        <v>2976</v>
      </c>
      <c r="Q105" s="12">
        <f t="shared" si="8"/>
        <v>4512</v>
      </c>
      <c r="R105" s="12">
        <f>(P105+Q105)-Stock!E105</f>
        <v>7488</v>
      </c>
      <c r="S105" s="13">
        <f t="shared" si="9"/>
        <v>1</v>
      </c>
      <c r="T105" s="13">
        <f t="shared" si="10"/>
        <v>1</v>
      </c>
      <c r="U105" s="13">
        <f t="shared" si="11"/>
        <v>1</v>
      </c>
      <c r="V105" s="13">
        <f t="shared" si="12"/>
        <v>36000</v>
      </c>
      <c r="W105" s="13">
        <f t="shared" si="13"/>
        <v>36000</v>
      </c>
      <c r="X105" s="13" cm="1">
        <f t="array" ref="X105">_xlfn.IFS(P105+Q105&gt;Stock!E105,V105,P105+Q105&lt;Stock!E105,"No need",Stock!E105=0,V105,P105+Q105=Stock!E105,"No need")</f>
        <v>36000</v>
      </c>
      <c r="Y105" s="13" cm="1">
        <f t="array" ref="Y105">_xlfn.IFS(P105+Q105&gt;Stock!E105,W105,P105+Q105&lt;Stock!E105,"No need",Stock!E105=0,W105,P105+Q105=Stock!E105,"No need")</f>
        <v>36000</v>
      </c>
      <c r="Z105" s="13" cm="1">
        <f t="array" ref="Z105">_xlfn.IFS(ISNUMBER(X105+Y105),X105+Y105,ISTEXT(X105&amp;Y105),"No need")</f>
        <v>72000</v>
      </c>
      <c r="AA105" s="13" cm="1">
        <f t="array" ref="AA105">_xlfn.IFS(S105*O105&gt;0,S105*O105,S105*O105&lt;0,"No need",S105*O105=0,0)</f>
        <v>36000</v>
      </c>
    </row>
    <row r="106" spans="1:27">
      <c r="A106" s="34">
        <v>104</v>
      </c>
      <c r="B106" s="19" t="s">
        <v>83</v>
      </c>
      <c r="C106" s="19" t="s">
        <v>312</v>
      </c>
      <c r="D106" s="9" t="s">
        <v>217</v>
      </c>
      <c r="E106" s="10" t="s">
        <v>218</v>
      </c>
      <c r="F106" s="20" t="s">
        <v>338</v>
      </c>
      <c r="G106" s="22">
        <v>1.21</v>
      </c>
      <c r="H106" s="34"/>
      <c r="I106" s="22"/>
      <c r="J106" s="22"/>
      <c r="K106" s="22">
        <v>1.18</v>
      </c>
      <c r="L106" s="22"/>
      <c r="M106" s="22"/>
      <c r="N106" s="22"/>
      <c r="O106" s="23">
        <v>11360</v>
      </c>
      <c r="P106" s="12">
        <f t="shared" si="7"/>
        <v>1800.48</v>
      </c>
      <c r="Q106" s="12">
        <f t="shared" si="8"/>
        <v>2662.08</v>
      </c>
      <c r="R106" s="12">
        <f>(P106+Q106)-Stock!E106</f>
        <v>4462.5599999999995</v>
      </c>
      <c r="S106" s="13">
        <f t="shared" si="9"/>
        <v>1</v>
      </c>
      <c r="T106" s="13">
        <f t="shared" si="10"/>
        <v>1</v>
      </c>
      <c r="U106" s="13">
        <f t="shared" si="11"/>
        <v>1</v>
      </c>
      <c r="V106" s="13">
        <f t="shared" si="12"/>
        <v>11360</v>
      </c>
      <c r="W106" s="13">
        <f t="shared" si="13"/>
        <v>11360</v>
      </c>
      <c r="X106" s="13" cm="1">
        <f t="array" ref="X106">_xlfn.IFS(P106+Q106&gt;Stock!E106,V106,P106+Q106&lt;Stock!E106,"No need",Stock!E106=0,V106,P106+Q106=Stock!E106,"No need")</f>
        <v>11360</v>
      </c>
      <c r="Y106" s="13" cm="1">
        <f t="array" ref="Y106">_xlfn.IFS(P106+Q106&gt;Stock!E106,W106,P106+Q106&lt;Stock!E106,"No need",Stock!E106=0,W106,P106+Q106=Stock!E106,"No need")</f>
        <v>11360</v>
      </c>
      <c r="Z106" s="13" cm="1">
        <f t="array" ref="Z106">_xlfn.IFS(ISNUMBER(X106+Y106),X106+Y106,ISTEXT(X106&amp;Y106),"No need")</f>
        <v>22720</v>
      </c>
      <c r="AA106" s="13" cm="1">
        <f t="array" ref="AA106">_xlfn.IFS(S106*O106&gt;0,S106*O106,S106*O106&lt;0,"No need",S106*O106=0,0)</f>
        <v>11360</v>
      </c>
    </row>
    <row r="107" spans="1:27">
      <c r="A107" s="34">
        <v>105</v>
      </c>
      <c r="B107" s="19" t="s">
        <v>83</v>
      </c>
      <c r="C107" s="19" t="s">
        <v>312</v>
      </c>
      <c r="D107" s="9" t="s">
        <v>219</v>
      </c>
      <c r="E107" s="10" t="s">
        <v>220</v>
      </c>
      <c r="F107" s="20" t="s">
        <v>349</v>
      </c>
      <c r="G107" s="22">
        <v>56.84</v>
      </c>
      <c r="H107" s="34"/>
      <c r="I107" s="22"/>
      <c r="J107" s="22"/>
      <c r="K107" s="22">
        <v>0</v>
      </c>
      <c r="L107" s="22"/>
      <c r="M107" s="22"/>
      <c r="N107" s="22"/>
      <c r="O107" s="23">
        <v>260000</v>
      </c>
      <c r="P107" s="12">
        <f t="shared" si="7"/>
        <v>84577.919999999998</v>
      </c>
      <c r="Q107" s="12">
        <f t="shared" si="8"/>
        <v>0</v>
      </c>
      <c r="R107" s="12">
        <f>(P107+Q107)-Stock!E107</f>
        <v>84577.919999999998</v>
      </c>
      <c r="S107" s="13">
        <f t="shared" si="9"/>
        <v>1</v>
      </c>
      <c r="T107" s="13">
        <f t="shared" si="10"/>
        <v>1</v>
      </c>
      <c r="U107" s="13">
        <f t="shared" si="11"/>
        <v>0</v>
      </c>
      <c r="V107" s="13">
        <f t="shared" si="12"/>
        <v>260000</v>
      </c>
      <c r="W107" s="13">
        <f t="shared" si="13"/>
        <v>0</v>
      </c>
      <c r="X107" s="13" cm="1">
        <f t="array" ref="X107">_xlfn.IFS(P107+Q107&gt;Stock!E107,V107,P107+Q107&lt;Stock!E107,"No need",Stock!E107=0,V107,P107+Q107=Stock!E107,"No need")</f>
        <v>260000</v>
      </c>
      <c r="Y107" s="13" cm="1">
        <f t="array" ref="Y107">_xlfn.IFS(P107+Q107&gt;Stock!E107,W107,P107+Q107&lt;Stock!E107,"No need",Stock!E107=0,W107,P107+Q107=Stock!E107,"No need")</f>
        <v>0</v>
      </c>
      <c r="Z107" s="13" cm="1">
        <f t="array" ref="Z107">_xlfn.IFS(ISNUMBER(X107+Y107),X107+Y107,ISTEXT(X107&amp;Y107),"No need")</f>
        <v>260000</v>
      </c>
      <c r="AA107" s="13" cm="1">
        <f t="array" ref="AA107">_xlfn.IFS(S107*O107&gt;0,S107*O107,S107*O107&lt;0,"No need",S107*O107=0,0)</f>
        <v>260000</v>
      </c>
    </row>
    <row r="108" spans="1:27">
      <c r="A108" s="34">
        <v>106</v>
      </c>
      <c r="B108" s="19" t="s">
        <v>83</v>
      </c>
      <c r="C108" s="19" t="s">
        <v>312</v>
      </c>
      <c r="D108" s="9" t="s">
        <v>221</v>
      </c>
      <c r="E108" s="10" t="s">
        <v>222</v>
      </c>
      <c r="F108" s="20" t="s">
        <v>349</v>
      </c>
      <c r="G108" s="22">
        <v>443.7525</v>
      </c>
      <c r="H108" s="34"/>
      <c r="I108" s="22"/>
      <c r="J108" s="22"/>
      <c r="K108" s="22">
        <v>390.30550000000005</v>
      </c>
      <c r="L108" s="22"/>
      <c r="M108" s="22"/>
      <c r="N108" s="22"/>
      <c r="O108" s="23">
        <v>8000000</v>
      </c>
      <c r="P108" s="12">
        <f t="shared" si="7"/>
        <v>660303.72</v>
      </c>
      <c r="Q108" s="12">
        <f t="shared" si="8"/>
        <v>880529.2080000001</v>
      </c>
      <c r="R108" s="12">
        <f>(P108+Q108)-Stock!E108</f>
        <v>1540832.9280000001</v>
      </c>
      <c r="S108" s="13">
        <f t="shared" si="9"/>
        <v>1</v>
      </c>
      <c r="T108" s="13">
        <f>ROUNDUP($P$2/O108*G108,0)</f>
        <v>1</v>
      </c>
      <c r="U108" s="13">
        <f>ROUNDUP($Q$2/O108*K108,0)</f>
        <v>1</v>
      </c>
      <c r="V108" s="13">
        <f>T108*O108</f>
        <v>8000000</v>
      </c>
      <c r="W108" s="13">
        <f>O108*U108</f>
        <v>8000000</v>
      </c>
      <c r="X108" s="13" cm="1">
        <f t="array" ref="X108">_xlfn.IFS(P108+Q108&gt;Stock!E108,V108,P108+Q108&lt;Stock!E108,"No need",Stock!E108=0,V108,P108+Q108=Stock!E108,"No need")</f>
        <v>8000000</v>
      </c>
      <c r="Y108" s="13" cm="1">
        <f t="array" ref="Y108">_xlfn.IFS(P108+Q108&gt;Stock!E108,W108,P108+Q108&lt;Stock!E108,"No need",Stock!E108=0,W108,P108+Q108=Stock!E108,"No need")</f>
        <v>8000000</v>
      </c>
      <c r="Z108" s="13" cm="1">
        <f t="array" ref="Z108">_xlfn.IFS(ISNUMBER(X108+Y108),X108+Y108,ISTEXT(X108&amp;Y108),"No need")</f>
        <v>16000000</v>
      </c>
      <c r="AA108" s="13" cm="1">
        <f t="array" ref="AA108">_xlfn.IFS(S108*O108&gt;0,S108*O108,S108*O108&lt;0,"No need",S108*O108=0,0)</f>
        <v>8000000</v>
      </c>
    </row>
    <row r="109" spans="1:27">
      <c r="A109" s="34">
        <v>107</v>
      </c>
      <c r="B109" s="19" t="s">
        <v>83</v>
      </c>
      <c r="C109" s="19" t="s">
        <v>312</v>
      </c>
      <c r="D109" s="9" t="s">
        <v>223</v>
      </c>
      <c r="E109" s="10" t="s">
        <v>224</v>
      </c>
      <c r="F109" s="20" t="s">
        <v>349</v>
      </c>
      <c r="G109" s="22">
        <v>168.04399999999998</v>
      </c>
      <c r="H109" s="34"/>
      <c r="I109" s="22"/>
      <c r="J109" s="22"/>
      <c r="K109" s="22">
        <v>167.04399999999998</v>
      </c>
      <c r="L109" s="22"/>
      <c r="M109" s="22"/>
      <c r="N109" s="22"/>
      <c r="O109" s="23">
        <v>3000000</v>
      </c>
      <c r="P109" s="12">
        <f t="shared" si="7"/>
        <v>250049.47199999998</v>
      </c>
      <c r="Q109" s="12">
        <f t="shared" si="8"/>
        <v>376851.26399999997</v>
      </c>
      <c r="R109" s="12">
        <f>(P109+Q109)-Stock!E109</f>
        <v>626900.73599999992</v>
      </c>
      <c r="S109" s="13">
        <f t="shared" si="9"/>
        <v>1</v>
      </c>
      <c r="T109" s="13">
        <f t="shared" si="10"/>
        <v>1</v>
      </c>
      <c r="U109" s="13">
        <f t="shared" si="11"/>
        <v>1</v>
      </c>
      <c r="V109" s="13">
        <f t="shared" si="12"/>
        <v>3000000</v>
      </c>
      <c r="W109" s="13">
        <f t="shared" si="13"/>
        <v>3000000</v>
      </c>
      <c r="X109" s="13" cm="1">
        <f t="array" ref="X109">_xlfn.IFS(P109+Q109&gt;Stock!E109,V109,P109+Q109&lt;Stock!E109,"No need",Stock!E109=0,V109,P109+Q109=Stock!E109,"No need")</f>
        <v>3000000</v>
      </c>
      <c r="Y109" s="13" cm="1">
        <f t="array" ref="Y109">_xlfn.IFS(P109+Q109&gt;Stock!E109,W109,P109+Q109&lt;Stock!E109,"No need",Stock!E109=0,W109,P109+Q109=Stock!E109,"No need")</f>
        <v>3000000</v>
      </c>
      <c r="Z109" s="13" cm="1">
        <f t="array" ref="Z109">_xlfn.IFS(ISNUMBER(X109+Y109),X109+Y109,ISTEXT(X109&amp;Y109),"No need")</f>
        <v>6000000</v>
      </c>
      <c r="AA109" s="13" cm="1">
        <f t="array" ref="AA109">_xlfn.IFS(S109*O109&gt;0,S109*O109,S109*O109&lt;0,"No need",S109*O109=0,0)</f>
        <v>3000000</v>
      </c>
    </row>
    <row r="110" spans="1:27">
      <c r="A110" s="34">
        <v>108</v>
      </c>
      <c r="B110" s="19" t="s">
        <v>83</v>
      </c>
      <c r="C110" s="19" t="s">
        <v>312</v>
      </c>
      <c r="D110" s="9" t="s">
        <v>225</v>
      </c>
      <c r="E110" s="10" t="s">
        <v>226</v>
      </c>
      <c r="F110" s="20" t="s">
        <v>349</v>
      </c>
      <c r="G110" s="22">
        <v>25.475000000000001</v>
      </c>
      <c r="H110" s="34"/>
      <c r="I110" s="22"/>
      <c r="J110" s="22"/>
      <c r="K110" s="22">
        <v>270.03200000000004</v>
      </c>
      <c r="L110" s="22"/>
      <c r="M110" s="22"/>
      <c r="N110" s="22"/>
      <c r="O110" s="23">
        <v>4000000</v>
      </c>
      <c r="P110" s="12">
        <f t="shared" si="7"/>
        <v>37906.800000000003</v>
      </c>
      <c r="Q110" s="12">
        <f t="shared" si="8"/>
        <v>609192.19200000004</v>
      </c>
      <c r="R110" s="12">
        <f>(P110+Q110)-Stock!E110</f>
        <v>647098.99200000009</v>
      </c>
      <c r="S110" s="13">
        <f t="shared" si="9"/>
        <v>1</v>
      </c>
      <c r="T110" s="13">
        <f t="shared" si="10"/>
        <v>1</v>
      </c>
      <c r="U110" s="13">
        <f t="shared" si="11"/>
        <v>1</v>
      </c>
      <c r="V110" s="13">
        <f t="shared" si="12"/>
        <v>4000000</v>
      </c>
      <c r="W110" s="13">
        <f t="shared" si="13"/>
        <v>4000000</v>
      </c>
      <c r="X110" s="13" cm="1">
        <f t="array" ref="X110">_xlfn.IFS(P110+Q110&gt;Stock!E110,V110,P110+Q110&lt;Stock!E110,"No need",Stock!E110=0,V110,P110+Q110=Stock!E110,"No need")</f>
        <v>4000000</v>
      </c>
      <c r="Y110" s="13" cm="1">
        <f t="array" ref="Y110">_xlfn.IFS(P110+Q110&gt;Stock!E110,W110,P110+Q110&lt;Stock!E110,"No need",Stock!E110=0,W110,P110+Q110=Stock!E110,"No need")</f>
        <v>4000000</v>
      </c>
      <c r="Z110" s="13" cm="1">
        <f t="array" ref="Z110">_xlfn.IFS(ISNUMBER(X110+Y110),X110+Y110,ISTEXT(X110&amp;Y110),"No need")</f>
        <v>8000000</v>
      </c>
      <c r="AA110" s="13" cm="1">
        <f t="array" ref="AA110">_xlfn.IFS(S110*O110&gt;0,S110*O110,S110*O110&lt;0,"No need",S110*O110=0,0)</f>
        <v>4000000</v>
      </c>
    </row>
    <row r="111" spans="1:27">
      <c r="A111" s="34">
        <v>109</v>
      </c>
      <c r="B111" s="19" t="s">
        <v>83</v>
      </c>
      <c r="C111" s="19" t="s">
        <v>312</v>
      </c>
      <c r="D111" s="9" t="s">
        <v>227</v>
      </c>
      <c r="E111" s="10" t="s">
        <v>228</v>
      </c>
      <c r="F111" s="20" t="s">
        <v>337</v>
      </c>
      <c r="G111" s="22">
        <v>4</v>
      </c>
      <c r="H111" s="34"/>
      <c r="I111" s="22"/>
      <c r="J111" s="22"/>
      <c r="K111" s="22">
        <v>4</v>
      </c>
      <c r="L111" s="22"/>
      <c r="M111" s="22"/>
      <c r="N111" s="22"/>
      <c r="O111" s="23">
        <v>72000</v>
      </c>
      <c r="P111" s="12">
        <f t="shared" si="7"/>
        <v>5952</v>
      </c>
      <c r="Q111" s="12">
        <f t="shared" si="8"/>
        <v>9024</v>
      </c>
      <c r="R111" s="12">
        <f>(P111+Q111)-Stock!E111</f>
        <v>14976</v>
      </c>
      <c r="S111" s="13">
        <f t="shared" si="9"/>
        <v>1</v>
      </c>
      <c r="T111" s="13">
        <f t="shared" si="10"/>
        <v>1</v>
      </c>
      <c r="U111" s="13">
        <f t="shared" si="11"/>
        <v>1</v>
      </c>
      <c r="V111" s="13">
        <f t="shared" si="12"/>
        <v>72000</v>
      </c>
      <c r="W111" s="13">
        <f t="shared" si="13"/>
        <v>72000</v>
      </c>
      <c r="X111" s="13" cm="1">
        <f t="array" ref="X111">_xlfn.IFS(P111+Q111&gt;Stock!E111,V111,P111+Q111&lt;Stock!E111,"No need",Stock!E111=0,V111,P111+Q111=Stock!E111,"No need")</f>
        <v>72000</v>
      </c>
      <c r="Y111" s="13" cm="1">
        <f t="array" ref="Y111">_xlfn.IFS(P111+Q111&gt;Stock!E111,W111,P111+Q111&lt;Stock!E111,"No need",Stock!E111=0,W111,P111+Q111=Stock!E111,"No need")</f>
        <v>72000</v>
      </c>
      <c r="Z111" s="13" cm="1">
        <f t="array" ref="Z111">_xlfn.IFS(ISNUMBER(X111+Y111),X111+Y111,ISTEXT(X111&amp;Y111),"No need")</f>
        <v>144000</v>
      </c>
      <c r="AA111" s="13" cm="1">
        <f t="array" ref="AA111">_xlfn.IFS(S111*O111&gt;0,S111*O111,S111*O111&lt;0,"No need",S111*O111=0,0)</f>
        <v>72000</v>
      </c>
    </row>
    <row r="112" spans="1:27">
      <c r="A112" s="34">
        <v>110</v>
      </c>
      <c r="B112" s="19" t="s">
        <v>83</v>
      </c>
      <c r="C112" s="19" t="s">
        <v>312</v>
      </c>
      <c r="D112" s="9" t="s">
        <v>229</v>
      </c>
      <c r="E112" s="10" t="s">
        <v>230</v>
      </c>
      <c r="F112" s="20" t="s">
        <v>349</v>
      </c>
      <c r="G112" s="22">
        <v>2</v>
      </c>
      <c r="H112" s="34"/>
      <c r="I112" s="22"/>
      <c r="J112" s="22"/>
      <c r="K112" s="22">
        <v>2</v>
      </c>
      <c r="L112" s="22"/>
      <c r="M112" s="22"/>
      <c r="N112" s="22"/>
      <c r="O112" s="23">
        <v>20000</v>
      </c>
      <c r="P112" s="12">
        <f t="shared" si="7"/>
        <v>2976</v>
      </c>
      <c r="Q112" s="12">
        <f t="shared" si="8"/>
        <v>4512</v>
      </c>
      <c r="R112" s="12">
        <f>(P112+Q112)-Stock!E112</f>
        <v>7488</v>
      </c>
      <c r="S112" s="13">
        <f t="shared" si="9"/>
        <v>1</v>
      </c>
      <c r="T112" s="13">
        <f t="shared" si="10"/>
        <v>1</v>
      </c>
      <c r="U112" s="13">
        <f t="shared" si="11"/>
        <v>1</v>
      </c>
      <c r="V112" s="13">
        <f t="shared" si="12"/>
        <v>20000</v>
      </c>
      <c r="W112" s="13">
        <f t="shared" si="13"/>
        <v>20000</v>
      </c>
      <c r="X112" s="13" cm="1">
        <f t="array" ref="X112">_xlfn.IFS(P112+Q112&gt;Stock!E112,V112,P112+Q112&lt;Stock!E112,"No need",Stock!E112=0,V112,P112+Q112=Stock!E112,"No need")</f>
        <v>20000</v>
      </c>
      <c r="Y112" s="13" cm="1">
        <f t="array" ref="Y112">_xlfn.IFS(P112+Q112&gt;Stock!E112,W112,P112+Q112&lt;Stock!E112,"No need",Stock!E112=0,W112,P112+Q112=Stock!E112,"No need")</f>
        <v>20000</v>
      </c>
      <c r="Z112" s="13" cm="1">
        <f t="array" ref="Z112">_xlfn.IFS(ISNUMBER(X112+Y112),X112+Y112,ISTEXT(X112&amp;Y112),"No need")</f>
        <v>40000</v>
      </c>
      <c r="AA112" s="13" cm="1">
        <f t="array" ref="AA112">_xlfn.IFS(S112*O112&gt;0,S112*O112,S112*O112&lt;0,"No need",S112*O112=0,0)</f>
        <v>20000</v>
      </c>
    </row>
    <row r="113" spans="1:27">
      <c r="A113" s="34">
        <v>111</v>
      </c>
      <c r="B113" s="19" t="s">
        <v>83</v>
      </c>
      <c r="C113" s="19" t="s">
        <v>312</v>
      </c>
      <c r="D113" s="9" t="s">
        <v>231</v>
      </c>
      <c r="E113" s="10" t="s">
        <v>232</v>
      </c>
      <c r="F113" s="20" t="s">
        <v>337</v>
      </c>
      <c r="G113" s="22">
        <v>4</v>
      </c>
      <c r="H113" s="34"/>
      <c r="I113" s="22"/>
      <c r="J113" s="22"/>
      <c r="K113" s="22">
        <v>3</v>
      </c>
      <c r="L113" s="22"/>
      <c r="M113" s="22"/>
      <c r="N113" s="22"/>
      <c r="O113" s="23">
        <v>60000</v>
      </c>
      <c r="P113" s="12">
        <f t="shared" si="7"/>
        <v>5952</v>
      </c>
      <c r="Q113" s="12">
        <f t="shared" si="8"/>
        <v>6768</v>
      </c>
      <c r="R113" s="12">
        <f>(P113+Q113)-Stock!E113</f>
        <v>12720</v>
      </c>
      <c r="S113" s="13">
        <f t="shared" si="9"/>
        <v>1</v>
      </c>
      <c r="T113" s="13">
        <f t="shared" si="10"/>
        <v>1</v>
      </c>
      <c r="U113" s="13">
        <f t="shared" si="11"/>
        <v>1</v>
      </c>
      <c r="V113" s="13">
        <f t="shared" si="12"/>
        <v>60000</v>
      </c>
      <c r="W113" s="13">
        <f t="shared" si="13"/>
        <v>60000</v>
      </c>
      <c r="X113" s="13" cm="1">
        <f t="array" ref="X113">_xlfn.IFS(P113+Q113&gt;Stock!E113,V113,P113+Q113&lt;Stock!E113,"No need",Stock!E113=0,V113,P113+Q113=Stock!E113,"No need")</f>
        <v>60000</v>
      </c>
      <c r="Y113" s="13" cm="1">
        <f t="array" ref="Y113">_xlfn.IFS(P113+Q113&gt;Stock!E113,W113,P113+Q113&lt;Stock!E113,"No need",Stock!E113=0,W113,P113+Q113=Stock!E113,"No need")</f>
        <v>60000</v>
      </c>
      <c r="Z113" s="13" cm="1">
        <f t="array" ref="Z113">_xlfn.IFS(ISNUMBER(X113+Y113),X113+Y113,ISTEXT(X113&amp;Y113),"No need")</f>
        <v>120000</v>
      </c>
      <c r="AA113" s="13" cm="1">
        <f t="array" ref="AA113">_xlfn.IFS(S113*O113&gt;0,S113*O113,S113*O113&lt;0,"No need",S113*O113=0,0)</f>
        <v>60000</v>
      </c>
    </row>
    <row r="114" spans="1:27">
      <c r="A114" s="34">
        <v>112</v>
      </c>
      <c r="B114" s="19" t="s">
        <v>83</v>
      </c>
      <c r="C114" s="19" t="s">
        <v>312</v>
      </c>
      <c r="D114" s="9" t="s">
        <v>233</v>
      </c>
      <c r="E114" s="10" t="s">
        <v>234</v>
      </c>
      <c r="F114" s="20" t="s">
        <v>338</v>
      </c>
      <c r="G114" s="22">
        <v>0</v>
      </c>
      <c r="H114" s="34"/>
      <c r="I114" s="22"/>
      <c r="J114" s="22"/>
      <c r="K114" s="22">
        <v>3.1199999999999999E-2</v>
      </c>
      <c r="L114" s="22"/>
      <c r="M114" s="22"/>
      <c r="N114" s="22"/>
      <c r="O114" s="23">
        <v>600</v>
      </c>
      <c r="P114" s="12">
        <f t="shared" si="7"/>
        <v>0</v>
      </c>
      <c r="Q114" s="12">
        <f t="shared" si="8"/>
        <v>70.387199999999993</v>
      </c>
      <c r="R114" s="12">
        <f>(P114+Q114)-Stock!E114</f>
        <v>70.387199999999993</v>
      </c>
      <c r="S114" s="13">
        <f t="shared" si="9"/>
        <v>1</v>
      </c>
      <c r="T114" s="13">
        <f t="shared" si="10"/>
        <v>0</v>
      </c>
      <c r="U114" s="13">
        <f t="shared" si="11"/>
        <v>1</v>
      </c>
      <c r="V114" s="13">
        <f t="shared" si="12"/>
        <v>0</v>
      </c>
      <c r="W114" s="13">
        <f t="shared" si="13"/>
        <v>600</v>
      </c>
      <c r="X114" s="13" cm="1">
        <f t="array" ref="X114">_xlfn.IFS(P114+Q114&gt;Stock!E114,V114,P114+Q114&lt;Stock!E114,"No need",Stock!E114=0,V114,P114+Q114=Stock!E114,"No need")</f>
        <v>0</v>
      </c>
      <c r="Y114" s="13" cm="1">
        <f t="array" ref="Y114">_xlfn.IFS(P114+Q114&gt;Stock!E114,W114,P114+Q114&lt;Stock!E114,"No need",Stock!E114=0,W114,P114+Q114=Stock!E114,"No need")</f>
        <v>600</v>
      </c>
      <c r="Z114" s="13" cm="1">
        <f t="array" ref="Z114">_xlfn.IFS(ISNUMBER(X114+Y114),X114+Y114,ISTEXT(X114&amp;Y114),"No need")</f>
        <v>600</v>
      </c>
      <c r="AA114" s="13" cm="1">
        <f t="array" ref="AA114">_xlfn.IFS(S114*O114&gt;0,S114*O114,S114*O114&lt;0,"No need",S114*O114=0,0)</f>
        <v>600</v>
      </c>
    </row>
    <row r="115" spans="1:27">
      <c r="A115" s="34">
        <v>113</v>
      </c>
      <c r="B115" s="19" t="s">
        <v>83</v>
      </c>
      <c r="C115" s="19" t="s">
        <v>312</v>
      </c>
      <c r="D115" s="9" t="s">
        <v>235</v>
      </c>
      <c r="E115" s="10" t="s">
        <v>236</v>
      </c>
      <c r="F115" s="20" t="s">
        <v>349</v>
      </c>
      <c r="G115" s="22">
        <v>0.25</v>
      </c>
      <c r="H115" s="34"/>
      <c r="I115" s="22"/>
      <c r="J115" s="22"/>
      <c r="K115" s="22">
        <v>0.25</v>
      </c>
      <c r="L115" s="22"/>
      <c r="M115" s="22"/>
      <c r="N115" s="22"/>
      <c r="O115" s="23">
        <v>6000</v>
      </c>
      <c r="P115" s="12">
        <f t="shared" si="7"/>
        <v>372</v>
      </c>
      <c r="Q115" s="12">
        <f t="shared" si="8"/>
        <v>564</v>
      </c>
      <c r="R115" s="12">
        <f>(P115+Q115)-Stock!E115</f>
        <v>936</v>
      </c>
      <c r="S115" s="13">
        <f t="shared" si="9"/>
        <v>1</v>
      </c>
      <c r="T115" s="13">
        <f t="shared" si="10"/>
        <v>1</v>
      </c>
      <c r="U115" s="13">
        <f t="shared" si="11"/>
        <v>1</v>
      </c>
      <c r="V115" s="13">
        <f t="shared" si="12"/>
        <v>6000</v>
      </c>
      <c r="W115" s="13">
        <f t="shared" si="13"/>
        <v>6000</v>
      </c>
      <c r="X115" s="13" cm="1">
        <f t="array" ref="X115">_xlfn.IFS(P115+Q115&gt;Stock!E115,V115,P115+Q115&lt;Stock!E115,"No need",Stock!E115=0,V115,P115+Q115=Stock!E115,"No need")</f>
        <v>6000</v>
      </c>
      <c r="Y115" s="13" cm="1">
        <f t="array" ref="Y115">_xlfn.IFS(P115+Q115&gt;Stock!E115,W115,P115+Q115&lt;Stock!E115,"No need",Stock!E115=0,W115,P115+Q115=Stock!E115,"No need")</f>
        <v>6000</v>
      </c>
      <c r="Z115" s="13" cm="1">
        <f t="array" ref="Z115">_xlfn.IFS(ISNUMBER(X115+Y115),X115+Y115,ISTEXT(X115&amp;Y115),"No need")</f>
        <v>12000</v>
      </c>
      <c r="AA115" s="13" cm="1">
        <f t="array" ref="AA115">_xlfn.IFS(S115*O115&gt;0,S115*O115,S115*O115&lt;0,"No need",S115*O115=0,0)</f>
        <v>6000</v>
      </c>
    </row>
    <row r="116" spans="1:27">
      <c r="A116" s="34">
        <v>114</v>
      </c>
      <c r="B116" s="19" t="s">
        <v>83</v>
      </c>
      <c r="C116" s="19" t="s">
        <v>312</v>
      </c>
      <c r="D116" s="9" t="s">
        <v>237</v>
      </c>
      <c r="E116" s="10" t="s">
        <v>238</v>
      </c>
      <c r="F116" s="20" t="s">
        <v>337</v>
      </c>
      <c r="G116" s="22">
        <v>2</v>
      </c>
      <c r="H116" s="34"/>
      <c r="I116" s="22"/>
      <c r="J116" s="22"/>
      <c r="K116" s="22">
        <v>2</v>
      </c>
      <c r="L116" s="22"/>
      <c r="M116" s="22"/>
      <c r="N116" s="22"/>
      <c r="O116" s="23">
        <v>36000</v>
      </c>
      <c r="P116" s="12">
        <f t="shared" si="7"/>
        <v>2976</v>
      </c>
      <c r="Q116" s="12">
        <f t="shared" si="8"/>
        <v>4512</v>
      </c>
      <c r="R116" s="12">
        <f>(P116+Q116)-Stock!E116</f>
        <v>7488</v>
      </c>
      <c r="S116" s="13">
        <f t="shared" si="9"/>
        <v>1</v>
      </c>
      <c r="T116" s="13">
        <f t="shared" si="10"/>
        <v>1</v>
      </c>
      <c r="U116" s="13">
        <f t="shared" si="11"/>
        <v>1</v>
      </c>
      <c r="V116" s="13">
        <f t="shared" si="12"/>
        <v>36000</v>
      </c>
      <c r="W116" s="13">
        <f t="shared" si="13"/>
        <v>36000</v>
      </c>
      <c r="X116" s="13" cm="1">
        <f t="array" ref="X116">_xlfn.IFS(P116+Q116&gt;Stock!E116,V116,P116+Q116&lt;Stock!E116,"No need",Stock!E116=0,V116,P116+Q116=Stock!E116,"No need")</f>
        <v>36000</v>
      </c>
      <c r="Y116" s="13" cm="1">
        <f t="array" ref="Y116">_xlfn.IFS(P116+Q116&gt;Stock!E116,W116,P116+Q116&lt;Stock!E116,"No need",Stock!E116=0,W116,P116+Q116=Stock!E116,"No need")</f>
        <v>36000</v>
      </c>
      <c r="Z116" s="13" cm="1">
        <f t="array" ref="Z116">_xlfn.IFS(ISNUMBER(X116+Y116),X116+Y116,ISTEXT(X116&amp;Y116),"No need")</f>
        <v>72000</v>
      </c>
      <c r="AA116" s="13" cm="1">
        <f t="array" ref="AA116">_xlfn.IFS(S116*O116&gt;0,S116*O116,S116*O116&lt;0,"No need",S116*O116=0,0)</f>
        <v>36000</v>
      </c>
    </row>
    <row r="117" spans="1:27">
      <c r="A117" s="34">
        <v>115</v>
      </c>
      <c r="B117" s="19" t="s">
        <v>83</v>
      </c>
      <c r="C117" s="19" t="s">
        <v>312</v>
      </c>
      <c r="D117" s="9" t="s">
        <v>239</v>
      </c>
      <c r="E117" s="10" t="s">
        <v>228</v>
      </c>
      <c r="F117" s="20" t="s">
        <v>337</v>
      </c>
      <c r="G117" s="22">
        <v>2</v>
      </c>
      <c r="H117" s="34"/>
      <c r="I117" s="22"/>
      <c r="J117" s="22"/>
      <c r="K117" s="22">
        <v>2</v>
      </c>
      <c r="L117" s="22"/>
      <c r="M117" s="22"/>
      <c r="N117" s="22"/>
      <c r="O117" s="23">
        <v>36000</v>
      </c>
      <c r="P117" s="12">
        <f t="shared" si="7"/>
        <v>2976</v>
      </c>
      <c r="Q117" s="12">
        <f t="shared" si="8"/>
        <v>4512</v>
      </c>
      <c r="R117" s="12">
        <f>(P117+Q117)-Stock!E117</f>
        <v>7488</v>
      </c>
      <c r="S117" s="13">
        <f t="shared" si="9"/>
        <v>1</v>
      </c>
      <c r="T117" s="13">
        <f t="shared" si="10"/>
        <v>1</v>
      </c>
      <c r="U117" s="13">
        <f t="shared" si="11"/>
        <v>1</v>
      </c>
      <c r="V117" s="13">
        <f t="shared" si="12"/>
        <v>36000</v>
      </c>
      <c r="W117" s="13">
        <f t="shared" si="13"/>
        <v>36000</v>
      </c>
      <c r="X117" s="13" cm="1">
        <f t="array" ref="X117">_xlfn.IFS(P117+Q117&gt;Stock!E117,V117,P117+Q117&lt;Stock!E117,"No need",Stock!E117=0,V117,P117+Q117=Stock!E117,"No need")</f>
        <v>36000</v>
      </c>
      <c r="Y117" s="13" cm="1">
        <f t="array" ref="Y117">_xlfn.IFS(P117+Q117&gt;Stock!E117,W117,P117+Q117&lt;Stock!E117,"No need",Stock!E117=0,W117,P117+Q117=Stock!E117,"No need")</f>
        <v>36000</v>
      </c>
      <c r="Z117" s="13" cm="1">
        <f t="array" ref="Z117">_xlfn.IFS(ISNUMBER(X117+Y117),X117+Y117,ISTEXT(X117&amp;Y117),"No need")</f>
        <v>72000</v>
      </c>
      <c r="AA117" s="13" cm="1">
        <f t="array" ref="AA117">_xlfn.IFS(S117*O117&gt;0,S117*O117,S117*O117&lt;0,"No need",S117*O117=0,0)</f>
        <v>36000</v>
      </c>
    </row>
    <row r="118" spans="1:27">
      <c r="A118" s="34">
        <v>116</v>
      </c>
      <c r="B118" s="19" t="s">
        <v>83</v>
      </c>
      <c r="C118" s="19" t="s">
        <v>312</v>
      </c>
      <c r="D118" s="9" t="s">
        <v>240</v>
      </c>
      <c r="E118" s="10" t="s">
        <v>228</v>
      </c>
      <c r="F118" s="20" t="s">
        <v>337</v>
      </c>
      <c r="G118" s="22">
        <v>4</v>
      </c>
      <c r="H118" s="34"/>
      <c r="I118" s="22"/>
      <c r="J118" s="22"/>
      <c r="K118" s="22">
        <v>4</v>
      </c>
      <c r="L118" s="22"/>
      <c r="M118" s="22"/>
      <c r="N118" s="22"/>
      <c r="O118" s="23">
        <v>72000</v>
      </c>
      <c r="P118" s="12">
        <f t="shared" si="7"/>
        <v>5952</v>
      </c>
      <c r="Q118" s="12">
        <f t="shared" si="8"/>
        <v>9024</v>
      </c>
      <c r="R118" s="12">
        <f>(P118+Q118)-Stock!E118</f>
        <v>14976</v>
      </c>
      <c r="S118" s="13">
        <f t="shared" si="9"/>
        <v>1</v>
      </c>
      <c r="T118" s="13">
        <f t="shared" si="10"/>
        <v>1</v>
      </c>
      <c r="U118" s="13">
        <f t="shared" si="11"/>
        <v>1</v>
      </c>
      <c r="V118" s="13">
        <f t="shared" si="12"/>
        <v>72000</v>
      </c>
      <c r="W118" s="13">
        <f t="shared" si="13"/>
        <v>72000</v>
      </c>
      <c r="X118" s="13" cm="1">
        <f t="array" ref="X118">_xlfn.IFS(P118+Q118&gt;Stock!E118,V118,P118+Q118&lt;Stock!E118,"No need",Stock!E118=0,V118,P118+Q118=Stock!E118,"No need")</f>
        <v>72000</v>
      </c>
      <c r="Y118" s="13" cm="1">
        <f t="array" ref="Y118">_xlfn.IFS(P118+Q118&gt;Stock!E118,W118,P118+Q118&lt;Stock!E118,"No need",Stock!E118=0,W118,P118+Q118=Stock!E118,"No need")</f>
        <v>72000</v>
      </c>
      <c r="Z118" s="13" cm="1">
        <f t="array" ref="Z118">_xlfn.IFS(ISNUMBER(X118+Y118),X118+Y118,ISTEXT(X118&amp;Y118),"No need")</f>
        <v>144000</v>
      </c>
      <c r="AA118" s="13" cm="1">
        <f t="array" ref="AA118">_xlfn.IFS(S118*O118&gt;0,S118*O118,S118*O118&lt;0,"No need",S118*O118=0,0)</f>
        <v>72000</v>
      </c>
    </row>
    <row r="119" spans="1:27">
      <c r="A119" s="34">
        <v>117</v>
      </c>
      <c r="B119" s="19" t="s">
        <v>83</v>
      </c>
      <c r="C119" s="19" t="s">
        <v>312</v>
      </c>
      <c r="D119" s="9" t="s">
        <v>241</v>
      </c>
      <c r="E119" s="10" t="s">
        <v>242</v>
      </c>
      <c r="F119" s="20" t="s">
        <v>337</v>
      </c>
      <c r="G119" s="22">
        <v>2</v>
      </c>
      <c r="H119" s="34"/>
      <c r="I119" s="22"/>
      <c r="J119" s="22"/>
      <c r="K119" s="22">
        <v>2</v>
      </c>
      <c r="L119" s="22"/>
      <c r="M119" s="22"/>
      <c r="N119" s="22"/>
      <c r="O119" s="23">
        <v>36000</v>
      </c>
      <c r="P119" s="12">
        <f t="shared" si="7"/>
        <v>2976</v>
      </c>
      <c r="Q119" s="12">
        <f t="shared" si="8"/>
        <v>4512</v>
      </c>
      <c r="R119" s="12">
        <f>(P119+Q119)-Stock!E119</f>
        <v>7488</v>
      </c>
      <c r="S119" s="13">
        <f t="shared" si="9"/>
        <v>1</v>
      </c>
      <c r="T119" s="13">
        <f t="shared" si="10"/>
        <v>1</v>
      </c>
      <c r="U119" s="13">
        <f t="shared" si="11"/>
        <v>1</v>
      </c>
      <c r="V119" s="13">
        <f t="shared" si="12"/>
        <v>36000</v>
      </c>
      <c r="W119" s="13">
        <f t="shared" si="13"/>
        <v>36000</v>
      </c>
      <c r="X119" s="13" cm="1">
        <f t="array" ref="X119">_xlfn.IFS(P119+Q119&gt;Stock!E119,V119,P119+Q119&lt;Stock!E119,"No need",Stock!E119=0,V119,P119+Q119=Stock!E119,"No need")</f>
        <v>36000</v>
      </c>
      <c r="Y119" s="13" cm="1">
        <f t="array" ref="Y119">_xlfn.IFS(P119+Q119&gt;Stock!E119,W119,P119+Q119&lt;Stock!E119,"No need",Stock!E119=0,W119,P119+Q119=Stock!E119,"No need")</f>
        <v>36000</v>
      </c>
      <c r="Z119" s="13" cm="1">
        <f t="array" ref="Z119">_xlfn.IFS(ISNUMBER(X119+Y119),X119+Y119,ISTEXT(X119&amp;Y119),"No need")</f>
        <v>72000</v>
      </c>
      <c r="AA119" s="13" cm="1">
        <f t="array" ref="AA119">_xlfn.IFS(S119*O119&gt;0,S119*O119,S119*O119&lt;0,"No need",S119*O119=0,0)</f>
        <v>36000</v>
      </c>
    </row>
    <row r="120" spans="1:27">
      <c r="A120" s="34">
        <v>118</v>
      </c>
      <c r="B120" s="19" t="s">
        <v>83</v>
      </c>
      <c r="C120" s="19" t="s">
        <v>312</v>
      </c>
      <c r="D120" s="9" t="s">
        <v>243</v>
      </c>
      <c r="E120" s="10" t="s">
        <v>244</v>
      </c>
      <c r="F120" s="20" t="s">
        <v>337</v>
      </c>
      <c r="G120" s="22">
        <v>2</v>
      </c>
      <c r="H120" s="34"/>
      <c r="I120" s="22"/>
      <c r="J120" s="22"/>
      <c r="K120" s="22">
        <v>2</v>
      </c>
      <c r="L120" s="22"/>
      <c r="M120" s="22"/>
      <c r="N120" s="22"/>
      <c r="O120" s="23">
        <v>36000</v>
      </c>
      <c r="P120" s="12">
        <f t="shared" si="7"/>
        <v>2976</v>
      </c>
      <c r="Q120" s="12">
        <f t="shared" si="8"/>
        <v>4512</v>
      </c>
      <c r="R120" s="12">
        <f>(P120+Q120)-Stock!E120</f>
        <v>7488</v>
      </c>
      <c r="S120" s="13">
        <f t="shared" si="9"/>
        <v>1</v>
      </c>
      <c r="T120" s="13">
        <f t="shared" si="10"/>
        <v>1</v>
      </c>
      <c r="U120" s="13">
        <f t="shared" si="11"/>
        <v>1</v>
      </c>
      <c r="V120" s="13">
        <f t="shared" si="12"/>
        <v>36000</v>
      </c>
      <c r="W120" s="13">
        <f t="shared" si="13"/>
        <v>36000</v>
      </c>
      <c r="X120" s="13" cm="1">
        <f t="array" ref="X120">_xlfn.IFS(P120+Q120&gt;Stock!E120,V120,P120+Q120&lt;Stock!E120,"No need",Stock!E120=0,V120,P120+Q120=Stock!E120,"No need")</f>
        <v>36000</v>
      </c>
      <c r="Y120" s="13" cm="1">
        <f t="array" ref="Y120">_xlfn.IFS(P120+Q120&gt;Stock!E120,W120,P120+Q120&lt;Stock!E120,"No need",Stock!E120=0,W120,P120+Q120=Stock!E120,"No need")</f>
        <v>36000</v>
      </c>
      <c r="Z120" s="13" cm="1">
        <f t="array" ref="Z120">_xlfn.IFS(ISNUMBER(X120+Y120),X120+Y120,ISTEXT(X120&amp;Y120),"No need")</f>
        <v>72000</v>
      </c>
      <c r="AA120" s="13" cm="1">
        <f t="array" ref="AA120">_xlfn.IFS(S120*O120&gt;0,S120*O120,S120*O120&lt;0,"No need",S120*O120=0,0)</f>
        <v>36000</v>
      </c>
    </row>
    <row r="121" spans="1:27">
      <c r="A121" s="34">
        <v>119</v>
      </c>
      <c r="B121" s="19" t="s">
        <v>83</v>
      </c>
      <c r="C121" s="19" t="s">
        <v>312</v>
      </c>
      <c r="D121" s="9" t="s">
        <v>245</v>
      </c>
      <c r="E121" s="10" t="s">
        <v>246</v>
      </c>
      <c r="F121" s="20" t="s">
        <v>337</v>
      </c>
      <c r="G121" s="22">
        <v>1</v>
      </c>
      <c r="H121" s="34"/>
      <c r="I121" s="22"/>
      <c r="J121" s="22"/>
      <c r="K121" s="22">
        <v>1</v>
      </c>
      <c r="L121" s="22"/>
      <c r="M121" s="22"/>
      <c r="N121" s="22"/>
      <c r="O121" s="23">
        <v>20000</v>
      </c>
      <c r="P121" s="12">
        <f t="shared" si="7"/>
        <v>1488</v>
      </c>
      <c r="Q121" s="12">
        <f t="shared" si="8"/>
        <v>2256</v>
      </c>
      <c r="R121" s="12">
        <f>(P121+Q121)-Stock!E121</f>
        <v>3744</v>
      </c>
      <c r="S121" s="13">
        <f t="shared" si="9"/>
        <v>1</v>
      </c>
      <c r="T121" s="13">
        <f t="shared" si="10"/>
        <v>1</v>
      </c>
      <c r="U121" s="13">
        <f t="shared" si="11"/>
        <v>1</v>
      </c>
      <c r="V121" s="13">
        <f t="shared" si="12"/>
        <v>20000</v>
      </c>
      <c r="W121" s="13">
        <f t="shared" si="13"/>
        <v>20000</v>
      </c>
      <c r="X121" s="13" cm="1">
        <f t="array" ref="X121">_xlfn.IFS(P121+Q121&gt;Stock!E121,V121,P121+Q121&lt;Stock!E121,"No need",Stock!E121=0,V121,P121+Q121=Stock!E121,"No need")</f>
        <v>20000</v>
      </c>
      <c r="Y121" s="13" cm="1">
        <f t="array" ref="Y121">_xlfn.IFS(P121+Q121&gt;Stock!E121,W121,P121+Q121&lt;Stock!E121,"No need",Stock!E121=0,W121,P121+Q121=Stock!E121,"No need")</f>
        <v>20000</v>
      </c>
      <c r="Z121" s="13" cm="1">
        <f t="array" ref="Z121">_xlfn.IFS(ISNUMBER(X121+Y121),X121+Y121,ISTEXT(X121&amp;Y121),"No need")</f>
        <v>40000</v>
      </c>
      <c r="AA121" s="13" cm="1">
        <f t="array" ref="AA121">_xlfn.IFS(S121*O121&gt;0,S121*O121,S121*O121&lt;0,"No need",S121*O121=0,0)</f>
        <v>20000</v>
      </c>
    </row>
    <row r="122" spans="1:27">
      <c r="A122" s="34">
        <v>120</v>
      </c>
      <c r="B122" s="19" t="s">
        <v>83</v>
      </c>
      <c r="C122" s="19" t="s">
        <v>312</v>
      </c>
      <c r="D122" s="9" t="s">
        <v>247</v>
      </c>
      <c r="E122" s="10" t="s">
        <v>248</v>
      </c>
      <c r="F122" s="20" t="s">
        <v>337</v>
      </c>
      <c r="G122" s="22">
        <v>4</v>
      </c>
      <c r="H122" s="34"/>
      <c r="I122" s="22"/>
      <c r="J122" s="22"/>
      <c r="K122" s="22">
        <v>4</v>
      </c>
      <c r="L122" s="22"/>
      <c r="M122" s="22"/>
      <c r="N122" s="22"/>
      <c r="O122" s="23">
        <v>72000</v>
      </c>
      <c r="P122" s="12">
        <f t="shared" si="7"/>
        <v>5952</v>
      </c>
      <c r="Q122" s="12">
        <f t="shared" si="8"/>
        <v>9024</v>
      </c>
      <c r="R122" s="12">
        <f>(P122+Q122)-Stock!E122</f>
        <v>14976</v>
      </c>
      <c r="S122" s="13">
        <f t="shared" si="9"/>
        <v>1</v>
      </c>
      <c r="T122" s="13">
        <f t="shared" si="10"/>
        <v>1</v>
      </c>
      <c r="U122" s="13">
        <f t="shared" si="11"/>
        <v>1</v>
      </c>
      <c r="V122" s="13">
        <f t="shared" si="12"/>
        <v>72000</v>
      </c>
      <c r="W122" s="13">
        <f t="shared" si="13"/>
        <v>72000</v>
      </c>
      <c r="X122" s="13" cm="1">
        <f t="array" ref="X122">_xlfn.IFS(P122+Q122&gt;Stock!E122,V122,P122+Q122&lt;Stock!E122,"No need",Stock!E122=0,V122,P122+Q122=Stock!E122,"No need")</f>
        <v>72000</v>
      </c>
      <c r="Y122" s="13" cm="1">
        <f t="array" ref="Y122">_xlfn.IFS(P122+Q122&gt;Stock!E122,W122,P122+Q122&lt;Stock!E122,"No need",Stock!E122=0,W122,P122+Q122=Stock!E122,"No need")</f>
        <v>72000</v>
      </c>
      <c r="Z122" s="13" cm="1">
        <f t="array" ref="Z122">_xlfn.IFS(ISNUMBER(X122+Y122),X122+Y122,ISTEXT(X122&amp;Y122),"No need")</f>
        <v>144000</v>
      </c>
      <c r="AA122" s="13" cm="1">
        <f t="array" ref="AA122">_xlfn.IFS(S122*O122&gt;0,S122*O122,S122*O122&lt;0,"No need",S122*O122=0,0)</f>
        <v>72000</v>
      </c>
    </row>
    <row r="123" spans="1:27">
      <c r="A123" s="34">
        <v>121</v>
      </c>
      <c r="B123" s="19" t="s">
        <v>83</v>
      </c>
      <c r="C123" s="19" t="s">
        <v>312</v>
      </c>
      <c r="D123" s="9" t="s">
        <v>249</v>
      </c>
      <c r="E123" s="10" t="s">
        <v>244</v>
      </c>
      <c r="F123" s="20" t="s">
        <v>337</v>
      </c>
      <c r="G123" s="22">
        <v>2</v>
      </c>
      <c r="H123" s="34"/>
      <c r="I123" s="22"/>
      <c r="J123" s="22"/>
      <c r="K123" s="22">
        <v>2</v>
      </c>
      <c r="L123" s="22"/>
      <c r="M123" s="22"/>
      <c r="N123" s="22"/>
      <c r="O123" s="23">
        <v>36000</v>
      </c>
      <c r="P123" s="12">
        <f t="shared" si="7"/>
        <v>2976</v>
      </c>
      <c r="Q123" s="12">
        <f t="shared" si="8"/>
        <v>4512</v>
      </c>
      <c r="R123" s="12">
        <f>(P123+Q123)-Stock!E123</f>
        <v>7488</v>
      </c>
      <c r="S123" s="13">
        <f t="shared" si="9"/>
        <v>1</v>
      </c>
      <c r="T123" s="13">
        <f t="shared" si="10"/>
        <v>1</v>
      </c>
      <c r="U123" s="13">
        <f t="shared" si="11"/>
        <v>1</v>
      </c>
      <c r="V123" s="13">
        <f t="shared" si="12"/>
        <v>36000</v>
      </c>
      <c r="W123" s="13">
        <f t="shared" si="13"/>
        <v>36000</v>
      </c>
      <c r="X123" s="13" cm="1">
        <f t="array" ref="X123">_xlfn.IFS(P123+Q123&gt;Stock!E123,V123,P123+Q123&lt;Stock!E123,"No need",Stock!E123=0,V123,P123+Q123=Stock!E123,"No need")</f>
        <v>36000</v>
      </c>
      <c r="Y123" s="13" cm="1">
        <f t="array" ref="Y123">_xlfn.IFS(P123+Q123&gt;Stock!E123,W123,P123+Q123&lt;Stock!E123,"No need",Stock!E123=0,W123,P123+Q123=Stock!E123,"No need")</f>
        <v>36000</v>
      </c>
      <c r="Z123" s="13" cm="1">
        <f t="array" ref="Z123">_xlfn.IFS(ISNUMBER(X123+Y123),X123+Y123,ISTEXT(X123&amp;Y123),"No need")</f>
        <v>72000</v>
      </c>
      <c r="AA123" s="13" cm="1">
        <f t="array" ref="AA123">_xlfn.IFS(S123*O123&gt;0,S123*O123,S123*O123&lt;0,"No need",S123*O123=0,0)</f>
        <v>36000</v>
      </c>
    </row>
    <row r="124" spans="1:27">
      <c r="A124" s="34">
        <v>122</v>
      </c>
      <c r="B124" s="19" t="s">
        <v>83</v>
      </c>
      <c r="C124" s="19" t="s">
        <v>312</v>
      </c>
      <c r="D124" s="9" t="s">
        <v>250</v>
      </c>
      <c r="E124" s="10" t="s">
        <v>251</v>
      </c>
      <c r="F124" s="20" t="s">
        <v>337</v>
      </c>
      <c r="G124" s="22">
        <v>2</v>
      </c>
      <c r="H124" s="34"/>
      <c r="I124" s="22"/>
      <c r="J124" s="22"/>
      <c r="K124" s="22">
        <v>2</v>
      </c>
      <c r="L124" s="22"/>
      <c r="M124" s="22"/>
      <c r="N124" s="22"/>
      <c r="O124" s="23">
        <v>36000</v>
      </c>
      <c r="P124" s="12">
        <f t="shared" si="7"/>
        <v>2976</v>
      </c>
      <c r="Q124" s="12">
        <f t="shared" si="8"/>
        <v>4512</v>
      </c>
      <c r="R124" s="12">
        <f>(P124+Q124)-Stock!E124</f>
        <v>7488</v>
      </c>
      <c r="S124" s="13">
        <f t="shared" si="9"/>
        <v>1</v>
      </c>
      <c r="T124" s="13">
        <f t="shared" si="10"/>
        <v>1</v>
      </c>
      <c r="U124" s="13">
        <f t="shared" si="11"/>
        <v>1</v>
      </c>
      <c r="V124" s="13">
        <f t="shared" si="12"/>
        <v>36000</v>
      </c>
      <c r="W124" s="13">
        <f t="shared" si="13"/>
        <v>36000</v>
      </c>
      <c r="X124" s="13" cm="1">
        <f t="array" ref="X124">_xlfn.IFS(P124+Q124&gt;Stock!E124,V124,P124+Q124&lt;Stock!E124,"No need",Stock!E124=0,V124,P124+Q124=Stock!E124,"No need")</f>
        <v>36000</v>
      </c>
      <c r="Y124" s="13" cm="1">
        <f t="array" ref="Y124">_xlfn.IFS(P124+Q124&gt;Stock!E124,W124,P124+Q124&lt;Stock!E124,"No need",Stock!E124=0,W124,P124+Q124=Stock!E124,"No need")</f>
        <v>36000</v>
      </c>
      <c r="Z124" s="13" cm="1">
        <f t="array" ref="Z124">_xlfn.IFS(ISNUMBER(X124+Y124),X124+Y124,ISTEXT(X124&amp;Y124),"No need")</f>
        <v>72000</v>
      </c>
      <c r="AA124" s="13" cm="1">
        <f t="array" ref="AA124">_xlfn.IFS(S124*O124&gt;0,S124*O124,S124*O124&lt;0,"No need",S124*O124=0,0)</f>
        <v>36000</v>
      </c>
    </row>
    <row r="125" spans="1:27">
      <c r="A125" s="34">
        <v>123</v>
      </c>
      <c r="B125" s="19" t="s">
        <v>83</v>
      </c>
      <c r="C125" s="19" t="s">
        <v>312</v>
      </c>
      <c r="D125" s="9" t="s">
        <v>252</v>
      </c>
      <c r="E125" s="10" t="s">
        <v>253</v>
      </c>
      <c r="F125" s="20" t="s">
        <v>337</v>
      </c>
      <c r="G125" s="22">
        <v>1</v>
      </c>
      <c r="H125" s="34"/>
      <c r="I125" s="22"/>
      <c r="J125" s="22"/>
      <c r="K125" s="22">
        <v>1</v>
      </c>
      <c r="L125" s="22"/>
      <c r="M125" s="22"/>
      <c r="N125" s="22"/>
      <c r="O125" s="23">
        <v>20000</v>
      </c>
      <c r="P125" s="12">
        <f t="shared" si="7"/>
        <v>1488</v>
      </c>
      <c r="Q125" s="12">
        <f t="shared" si="8"/>
        <v>2256</v>
      </c>
      <c r="R125" s="12">
        <f>(P125+Q125)-Stock!E125</f>
        <v>3744</v>
      </c>
      <c r="S125" s="13">
        <f t="shared" si="9"/>
        <v>1</v>
      </c>
      <c r="T125" s="13">
        <f t="shared" si="10"/>
        <v>1</v>
      </c>
      <c r="U125" s="13">
        <f t="shared" si="11"/>
        <v>1</v>
      </c>
      <c r="V125" s="13">
        <f t="shared" si="12"/>
        <v>20000</v>
      </c>
      <c r="W125" s="13">
        <f t="shared" si="13"/>
        <v>20000</v>
      </c>
      <c r="X125" s="13" cm="1">
        <f t="array" ref="X125">_xlfn.IFS(P125+Q125&gt;Stock!E125,V125,P125+Q125&lt;Stock!E125,"No need",Stock!E125=0,V125,P125+Q125=Stock!E125,"No need")</f>
        <v>20000</v>
      </c>
      <c r="Y125" s="13" cm="1">
        <f t="array" ref="Y125">_xlfn.IFS(P125+Q125&gt;Stock!E125,W125,P125+Q125&lt;Stock!E125,"No need",Stock!E125=0,W125,P125+Q125=Stock!E125,"No need")</f>
        <v>20000</v>
      </c>
      <c r="Z125" s="13" cm="1">
        <f t="array" ref="Z125">_xlfn.IFS(ISNUMBER(X125+Y125),X125+Y125,ISTEXT(X125&amp;Y125),"No need")</f>
        <v>40000</v>
      </c>
      <c r="AA125" s="13" cm="1">
        <f t="array" ref="AA125">_xlfn.IFS(S125*O125&gt;0,S125*O125,S125*O125&lt;0,"No need",S125*O125=0,0)</f>
        <v>20000</v>
      </c>
    </row>
    <row r="126" spans="1:27">
      <c r="A126" s="34">
        <v>124</v>
      </c>
      <c r="B126" s="19" t="s">
        <v>83</v>
      </c>
      <c r="C126" s="19" t="s">
        <v>312</v>
      </c>
      <c r="D126" s="9" t="s">
        <v>254</v>
      </c>
      <c r="E126" s="10" t="s">
        <v>255</v>
      </c>
      <c r="F126" s="20" t="s">
        <v>337</v>
      </c>
      <c r="G126" s="22">
        <v>2</v>
      </c>
      <c r="H126" s="34"/>
      <c r="I126" s="22"/>
      <c r="J126" s="22"/>
      <c r="K126" s="22">
        <v>2</v>
      </c>
      <c r="L126" s="22"/>
      <c r="M126" s="22"/>
      <c r="N126" s="22"/>
      <c r="O126" s="23">
        <v>36000</v>
      </c>
      <c r="P126" s="12">
        <f t="shared" si="7"/>
        <v>2976</v>
      </c>
      <c r="Q126" s="12">
        <f t="shared" si="8"/>
        <v>4512</v>
      </c>
      <c r="R126" s="12">
        <f>(P126+Q126)-Stock!E126</f>
        <v>7488</v>
      </c>
      <c r="S126" s="13">
        <f t="shared" si="9"/>
        <v>1</v>
      </c>
      <c r="T126" s="13">
        <f t="shared" si="10"/>
        <v>1</v>
      </c>
      <c r="U126" s="13">
        <f t="shared" si="11"/>
        <v>1</v>
      </c>
      <c r="V126" s="13">
        <f t="shared" si="12"/>
        <v>36000</v>
      </c>
      <c r="W126" s="13">
        <f t="shared" si="13"/>
        <v>36000</v>
      </c>
      <c r="X126" s="13" cm="1">
        <f t="array" ref="X126">_xlfn.IFS(P126+Q126&gt;Stock!E126,V126,P126+Q126&lt;Stock!E126,"No need",Stock!E126=0,V126,P126+Q126=Stock!E126,"No need")</f>
        <v>36000</v>
      </c>
      <c r="Y126" s="13" cm="1">
        <f t="array" ref="Y126">_xlfn.IFS(P126+Q126&gt;Stock!E126,W126,P126+Q126&lt;Stock!E126,"No need",Stock!E126=0,W126,P126+Q126=Stock!E126,"No need")</f>
        <v>36000</v>
      </c>
      <c r="Z126" s="13" cm="1">
        <f t="array" ref="Z126">_xlfn.IFS(ISNUMBER(X126+Y126),X126+Y126,ISTEXT(X126&amp;Y126),"No need")</f>
        <v>72000</v>
      </c>
      <c r="AA126" s="13" cm="1">
        <f t="array" ref="AA126">_xlfn.IFS(S126*O126&gt;0,S126*O126,S126*O126&lt;0,"No need",S126*O126=0,0)</f>
        <v>36000</v>
      </c>
    </row>
    <row r="127" spans="1:27">
      <c r="A127" s="34">
        <v>125</v>
      </c>
      <c r="B127" s="19" t="s">
        <v>83</v>
      </c>
      <c r="C127" s="19" t="s">
        <v>312</v>
      </c>
      <c r="D127" s="9" t="s">
        <v>256</v>
      </c>
      <c r="E127" s="10" t="s">
        <v>257</v>
      </c>
      <c r="F127" s="20" t="s">
        <v>337</v>
      </c>
      <c r="G127" s="22">
        <v>1</v>
      </c>
      <c r="H127" s="34"/>
      <c r="I127" s="22"/>
      <c r="J127" s="22"/>
      <c r="K127" s="22">
        <v>1</v>
      </c>
      <c r="L127" s="22"/>
      <c r="M127" s="22"/>
      <c r="N127" s="22"/>
      <c r="O127" s="23">
        <v>20000</v>
      </c>
      <c r="P127" s="12">
        <f t="shared" si="7"/>
        <v>1488</v>
      </c>
      <c r="Q127" s="12">
        <f t="shared" si="8"/>
        <v>2256</v>
      </c>
      <c r="R127" s="12">
        <f>(P127+Q127)-Stock!E127</f>
        <v>3744</v>
      </c>
      <c r="S127" s="13">
        <f t="shared" si="9"/>
        <v>1</v>
      </c>
      <c r="T127" s="13">
        <f t="shared" si="10"/>
        <v>1</v>
      </c>
      <c r="U127" s="13">
        <f t="shared" si="11"/>
        <v>1</v>
      </c>
      <c r="V127" s="13">
        <f t="shared" si="12"/>
        <v>20000</v>
      </c>
      <c r="W127" s="13">
        <f t="shared" si="13"/>
        <v>20000</v>
      </c>
      <c r="X127" s="13" cm="1">
        <f t="array" ref="X127">_xlfn.IFS(P127+Q127&gt;Stock!E127,V127,P127+Q127&lt;Stock!E127,"No need",Stock!E127=0,V127,P127+Q127=Stock!E127,"No need")</f>
        <v>20000</v>
      </c>
      <c r="Y127" s="13" cm="1">
        <f t="array" ref="Y127">_xlfn.IFS(P127+Q127&gt;Stock!E127,W127,P127+Q127&lt;Stock!E127,"No need",Stock!E127=0,W127,P127+Q127=Stock!E127,"No need")</f>
        <v>20000</v>
      </c>
      <c r="Z127" s="13" cm="1">
        <f t="array" ref="Z127">_xlfn.IFS(ISNUMBER(X127+Y127),X127+Y127,ISTEXT(X127&amp;Y127),"No need")</f>
        <v>40000</v>
      </c>
      <c r="AA127" s="13" cm="1">
        <f t="array" ref="AA127">_xlfn.IFS(S127*O127&gt;0,S127*O127,S127*O127&lt;0,"No need",S127*O127=0,0)</f>
        <v>20000</v>
      </c>
    </row>
    <row r="128" spans="1:27">
      <c r="A128" s="34">
        <v>126</v>
      </c>
      <c r="B128" s="19" t="s">
        <v>83</v>
      </c>
      <c r="C128" s="19" t="s">
        <v>312</v>
      </c>
      <c r="D128" s="9" t="s">
        <v>258</v>
      </c>
      <c r="E128" s="10" t="s">
        <v>259</v>
      </c>
      <c r="F128" s="20" t="s">
        <v>337</v>
      </c>
      <c r="G128" s="22">
        <v>1</v>
      </c>
      <c r="H128" s="34"/>
      <c r="I128" s="22"/>
      <c r="J128" s="22"/>
      <c r="K128" s="22">
        <v>1</v>
      </c>
      <c r="L128" s="22"/>
      <c r="M128" s="22"/>
      <c r="N128" s="22"/>
      <c r="O128" s="23">
        <v>20000</v>
      </c>
      <c r="P128" s="12">
        <f t="shared" si="7"/>
        <v>1488</v>
      </c>
      <c r="Q128" s="12">
        <f t="shared" si="8"/>
        <v>2256</v>
      </c>
      <c r="R128" s="12">
        <f>(P128+Q128)-Stock!E128</f>
        <v>3744</v>
      </c>
      <c r="S128" s="13">
        <f t="shared" si="9"/>
        <v>1</v>
      </c>
      <c r="T128" s="13">
        <f t="shared" si="10"/>
        <v>1</v>
      </c>
      <c r="U128" s="13">
        <f t="shared" si="11"/>
        <v>1</v>
      </c>
      <c r="V128" s="13">
        <f t="shared" si="12"/>
        <v>20000</v>
      </c>
      <c r="W128" s="13">
        <f t="shared" si="13"/>
        <v>20000</v>
      </c>
      <c r="X128" s="13" cm="1">
        <f t="array" ref="X128">_xlfn.IFS(P128+Q128&gt;Stock!E128,V128,P128+Q128&lt;Stock!E128,"No need",Stock!E128=0,V128,P128+Q128=Stock!E128,"No need")</f>
        <v>20000</v>
      </c>
      <c r="Y128" s="13" cm="1">
        <f t="array" ref="Y128">_xlfn.IFS(P128+Q128&gt;Stock!E128,W128,P128+Q128&lt;Stock!E128,"No need",Stock!E128=0,W128,P128+Q128=Stock!E128,"No need")</f>
        <v>20000</v>
      </c>
      <c r="Z128" s="13" cm="1">
        <f t="array" ref="Z128">_xlfn.IFS(ISNUMBER(X128+Y128),X128+Y128,ISTEXT(X128&amp;Y128),"No need")</f>
        <v>40000</v>
      </c>
      <c r="AA128" s="13" cm="1">
        <f t="array" ref="AA128">_xlfn.IFS(S128*O128&gt;0,S128*O128,S128*O128&lt;0,"No need",S128*O128=0,0)</f>
        <v>20000</v>
      </c>
    </row>
    <row r="129" spans="1:27">
      <c r="A129" s="34">
        <v>127</v>
      </c>
      <c r="B129" s="19" t="s">
        <v>83</v>
      </c>
      <c r="C129" s="19" t="s">
        <v>312</v>
      </c>
      <c r="D129" s="9" t="s">
        <v>260</v>
      </c>
      <c r="E129" s="10" t="s">
        <v>261</v>
      </c>
      <c r="F129" s="20" t="s">
        <v>337</v>
      </c>
      <c r="G129" s="22">
        <v>1</v>
      </c>
      <c r="H129" s="34"/>
      <c r="I129" s="22"/>
      <c r="J129" s="22"/>
      <c r="K129" s="22">
        <v>1</v>
      </c>
      <c r="L129" s="22"/>
      <c r="M129" s="22"/>
      <c r="N129" s="22"/>
      <c r="O129" s="23">
        <v>20000</v>
      </c>
      <c r="P129" s="12">
        <f t="shared" si="7"/>
        <v>1488</v>
      </c>
      <c r="Q129" s="12">
        <f t="shared" si="8"/>
        <v>2256</v>
      </c>
      <c r="R129" s="12">
        <f>(P129+Q129)-Stock!E129</f>
        <v>3744</v>
      </c>
      <c r="S129" s="13">
        <f t="shared" si="9"/>
        <v>1</v>
      </c>
      <c r="T129" s="13">
        <f t="shared" si="10"/>
        <v>1</v>
      </c>
      <c r="U129" s="13">
        <f t="shared" si="11"/>
        <v>1</v>
      </c>
      <c r="V129" s="13">
        <f t="shared" si="12"/>
        <v>20000</v>
      </c>
      <c r="W129" s="13">
        <f t="shared" si="13"/>
        <v>20000</v>
      </c>
      <c r="X129" s="13" cm="1">
        <f t="array" ref="X129">_xlfn.IFS(P129+Q129&gt;Stock!E129,V129,P129+Q129&lt;Stock!E129,"No need",Stock!E129=0,V129,P129+Q129=Stock!E129,"No need")</f>
        <v>20000</v>
      </c>
      <c r="Y129" s="13" cm="1">
        <f t="array" ref="Y129">_xlfn.IFS(P129+Q129&gt;Stock!E129,W129,P129+Q129&lt;Stock!E129,"No need",Stock!E129=0,W129,P129+Q129=Stock!E129,"No need")</f>
        <v>20000</v>
      </c>
      <c r="Z129" s="13" cm="1">
        <f t="array" ref="Z129">_xlfn.IFS(ISNUMBER(X129+Y129),X129+Y129,ISTEXT(X129&amp;Y129),"No need")</f>
        <v>40000</v>
      </c>
      <c r="AA129" s="13" cm="1">
        <f t="array" ref="AA129">_xlfn.IFS(S129*O129&gt;0,S129*O129,S129*O129&lt;0,"No need",S129*O129=0,0)</f>
        <v>20000</v>
      </c>
    </row>
    <row r="130" spans="1:27">
      <c r="A130" s="34">
        <v>128</v>
      </c>
      <c r="B130" s="19" t="s">
        <v>83</v>
      </c>
      <c r="C130" s="19" t="s">
        <v>312</v>
      </c>
      <c r="D130" s="9" t="s">
        <v>262</v>
      </c>
      <c r="E130" s="10" t="s">
        <v>244</v>
      </c>
      <c r="F130" s="20" t="s">
        <v>337</v>
      </c>
      <c r="G130" s="22">
        <v>2</v>
      </c>
      <c r="H130" s="34"/>
      <c r="I130" s="22"/>
      <c r="J130" s="22"/>
      <c r="K130" s="22">
        <v>2</v>
      </c>
      <c r="L130" s="22"/>
      <c r="M130" s="22"/>
      <c r="N130" s="22"/>
      <c r="O130" s="23">
        <v>36000</v>
      </c>
      <c r="P130" s="12">
        <f t="shared" si="7"/>
        <v>2976</v>
      </c>
      <c r="Q130" s="12">
        <f t="shared" si="8"/>
        <v>4512</v>
      </c>
      <c r="R130" s="12">
        <f>(P130+Q130)-Stock!E130</f>
        <v>7488</v>
      </c>
      <c r="S130" s="13">
        <f t="shared" si="9"/>
        <v>1</v>
      </c>
      <c r="T130" s="13">
        <f t="shared" si="10"/>
        <v>1</v>
      </c>
      <c r="U130" s="13">
        <f t="shared" si="11"/>
        <v>1</v>
      </c>
      <c r="V130" s="13">
        <f t="shared" si="12"/>
        <v>36000</v>
      </c>
      <c r="W130" s="13">
        <f t="shared" si="13"/>
        <v>36000</v>
      </c>
      <c r="X130" s="13" cm="1">
        <f t="array" ref="X130">_xlfn.IFS(P130+Q130&gt;Stock!E130,V130,P130+Q130&lt;Stock!E130,"No need",Stock!E130=0,V130,P130+Q130=Stock!E130,"No need")</f>
        <v>36000</v>
      </c>
      <c r="Y130" s="13" cm="1">
        <f t="array" ref="Y130">_xlfn.IFS(P130+Q130&gt;Stock!E130,W130,P130+Q130&lt;Stock!E130,"No need",Stock!E130=0,W130,P130+Q130=Stock!E130,"No need")</f>
        <v>36000</v>
      </c>
      <c r="Z130" s="13" cm="1">
        <f t="array" ref="Z130">_xlfn.IFS(ISNUMBER(X130+Y130),X130+Y130,ISTEXT(X130&amp;Y130),"No need")</f>
        <v>72000</v>
      </c>
      <c r="AA130" s="13" cm="1">
        <f t="array" ref="AA130">_xlfn.IFS(S130*O130&gt;0,S130*O130,S130*O130&lt;0,"No need",S130*O130=0,0)</f>
        <v>36000</v>
      </c>
    </row>
    <row r="131" spans="1:27">
      <c r="A131" s="34">
        <v>129</v>
      </c>
      <c r="B131" s="19" t="s">
        <v>83</v>
      </c>
      <c r="C131" s="19" t="s">
        <v>312</v>
      </c>
      <c r="D131" s="9" t="s">
        <v>263</v>
      </c>
      <c r="E131" s="10" t="s">
        <v>264</v>
      </c>
      <c r="F131" s="20" t="s">
        <v>337</v>
      </c>
      <c r="G131" s="22">
        <v>2</v>
      </c>
      <c r="H131" s="34"/>
      <c r="I131" s="22"/>
      <c r="J131" s="22"/>
      <c r="K131" s="22">
        <v>2</v>
      </c>
      <c r="L131" s="22"/>
      <c r="M131" s="22"/>
      <c r="N131" s="22"/>
      <c r="O131" s="23">
        <v>36000</v>
      </c>
      <c r="P131" s="12">
        <f t="shared" si="7"/>
        <v>2976</v>
      </c>
      <c r="Q131" s="12">
        <f t="shared" si="8"/>
        <v>4512</v>
      </c>
      <c r="R131" s="12">
        <f>(P131+Q131)-Stock!E131</f>
        <v>7488</v>
      </c>
      <c r="S131" s="13">
        <f t="shared" ref="S131:S146" si="14">ROUNDUP(R131/O131,0)</f>
        <v>1</v>
      </c>
      <c r="T131" s="13">
        <f t="shared" si="10"/>
        <v>1</v>
      </c>
      <c r="U131" s="13">
        <f t="shared" si="11"/>
        <v>1</v>
      </c>
      <c r="V131" s="13">
        <f t="shared" ref="V131:V146" si="15">T131*O131</f>
        <v>36000</v>
      </c>
      <c r="W131" s="13">
        <f t="shared" ref="W131:W146" si="16">O131*U131</f>
        <v>36000</v>
      </c>
      <c r="X131" s="13" cm="1">
        <f t="array" ref="X131">_xlfn.IFS(P131+Q131&gt;Stock!E131,V131,P131+Q131&lt;Stock!E131,"No need",Stock!E131=0,V131,P131+Q131=Stock!E131,"No need")</f>
        <v>36000</v>
      </c>
      <c r="Y131" s="13" cm="1">
        <f t="array" ref="Y131">_xlfn.IFS(P131+Q131&gt;Stock!E131,W131,P131+Q131&lt;Stock!E131,"No need",Stock!E131=0,W131,P131+Q131=Stock!E131,"No need")</f>
        <v>36000</v>
      </c>
      <c r="Z131" s="13" cm="1">
        <f t="array" ref="Z131">_xlfn.IFS(ISNUMBER(X131+Y131),X131+Y131,ISTEXT(X131&amp;Y131),"No need")</f>
        <v>72000</v>
      </c>
      <c r="AA131" s="13" cm="1">
        <f t="array" ref="AA131">_xlfn.IFS(S131*O131&gt;0,S131*O131,S131*O131&lt;0,"No need",S131*O131=0,0)</f>
        <v>36000</v>
      </c>
    </row>
    <row r="132" spans="1:27">
      <c r="A132" s="34">
        <v>130</v>
      </c>
      <c r="B132" s="19" t="s">
        <v>83</v>
      </c>
      <c r="C132" s="19" t="s">
        <v>312</v>
      </c>
      <c r="D132" s="9" t="s">
        <v>265</v>
      </c>
      <c r="E132" s="10" t="s">
        <v>266</v>
      </c>
      <c r="F132" s="20" t="s">
        <v>337</v>
      </c>
      <c r="G132" s="22">
        <v>1</v>
      </c>
      <c r="H132" s="34"/>
      <c r="I132" s="22"/>
      <c r="J132" s="22"/>
      <c r="K132" s="22">
        <v>1</v>
      </c>
      <c r="L132" s="22"/>
      <c r="M132" s="22"/>
      <c r="N132" s="22"/>
      <c r="O132" s="23">
        <v>20000</v>
      </c>
      <c r="P132" s="12">
        <f t="shared" si="7"/>
        <v>1488</v>
      </c>
      <c r="Q132" s="12">
        <f t="shared" si="8"/>
        <v>2256</v>
      </c>
      <c r="R132" s="12">
        <f>(P132+Q132)-Stock!E132</f>
        <v>3744</v>
      </c>
      <c r="S132" s="13">
        <f t="shared" si="14"/>
        <v>1</v>
      </c>
      <c r="T132" s="13">
        <f t="shared" si="10"/>
        <v>1</v>
      </c>
      <c r="U132" s="13">
        <f t="shared" si="11"/>
        <v>1</v>
      </c>
      <c r="V132" s="13">
        <f t="shared" si="15"/>
        <v>20000</v>
      </c>
      <c r="W132" s="13">
        <f t="shared" si="16"/>
        <v>20000</v>
      </c>
      <c r="X132" s="13" cm="1">
        <f t="array" ref="X132">_xlfn.IFS(P132+Q132&gt;Stock!E132,V132,P132+Q132&lt;Stock!E132,"No need",Stock!E132=0,V132,P132+Q132=Stock!E132,"No need")</f>
        <v>20000</v>
      </c>
      <c r="Y132" s="13" cm="1">
        <f t="array" ref="Y132">_xlfn.IFS(P132+Q132&gt;Stock!E132,W132,P132+Q132&lt;Stock!E132,"No need",Stock!E132=0,W132,P132+Q132=Stock!E132,"No need")</f>
        <v>20000</v>
      </c>
      <c r="Z132" s="13" cm="1">
        <f t="array" ref="Z132">_xlfn.IFS(ISNUMBER(X132+Y132),X132+Y132,ISTEXT(X132&amp;Y132),"No need")</f>
        <v>40000</v>
      </c>
      <c r="AA132" s="13" cm="1">
        <f t="array" ref="AA132">_xlfn.IFS(S132*O132&gt;0,S132*O132,S132*O132&lt;0,"No need",S132*O132=0,0)</f>
        <v>20000</v>
      </c>
    </row>
    <row r="133" spans="1:27">
      <c r="A133" s="34">
        <v>131</v>
      </c>
      <c r="B133" s="19" t="s">
        <v>83</v>
      </c>
      <c r="C133" s="19" t="s">
        <v>312</v>
      </c>
      <c r="D133" s="9" t="s">
        <v>267</v>
      </c>
      <c r="E133" s="10" t="s">
        <v>228</v>
      </c>
      <c r="F133" s="20" t="s">
        <v>337</v>
      </c>
      <c r="G133" s="22">
        <v>2</v>
      </c>
      <c r="H133" s="34"/>
      <c r="I133" s="22"/>
      <c r="J133" s="22"/>
      <c r="K133" s="22">
        <v>2</v>
      </c>
      <c r="L133" s="22"/>
      <c r="M133" s="22"/>
      <c r="N133" s="22"/>
      <c r="O133" s="23">
        <v>36000</v>
      </c>
      <c r="P133" s="12">
        <f t="shared" ref="P133:P146" si="17">G133*$P$2</f>
        <v>2976</v>
      </c>
      <c r="Q133" s="12">
        <f t="shared" ref="Q133:Q146" si="18">K133*$Q$2</f>
        <v>4512</v>
      </c>
      <c r="R133" s="12">
        <f>(P133+Q133)-Stock!E133</f>
        <v>7488</v>
      </c>
      <c r="S133" s="13">
        <f t="shared" si="14"/>
        <v>1</v>
      </c>
      <c r="T133" s="13">
        <f t="shared" ref="T133:T146" si="19">ROUNDUP($P$2/O133*G133,0)</f>
        <v>1</v>
      </c>
      <c r="U133" s="13">
        <f t="shared" si="11"/>
        <v>1</v>
      </c>
      <c r="V133" s="13">
        <f t="shared" si="15"/>
        <v>36000</v>
      </c>
      <c r="W133" s="13">
        <f t="shared" si="16"/>
        <v>36000</v>
      </c>
      <c r="X133" s="13" cm="1">
        <f t="array" ref="X133">_xlfn.IFS(P133+Q133&gt;Stock!E133,V133,P133+Q133&lt;Stock!E133,"No need",Stock!E133=0,V133,P133+Q133=Stock!E133,"No need")</f>
        <v>36000</v>
      </c>
      <c r="Y133" s="13" cm="1">
        <f t="array" ref="Y133">_xlfn.IFS(P133+Q133&gt;Stock!E133,W133,P133+Q133&lt;Stock!E133,"No need",Stock!E133=0,W133,P133+Q133=Stock!E133,"No need")</f>
        <v>36000</v>
      </c>
      <c r="Z133" s="13" cm="1">
        <f t="array" ref="Z133">_xlfn.IFS(ISNUMBER(X133+Y133),X133+Y133,ISTEXT(X133&amp;Y133),"No need")</f>
        <v>72000</v>
      </c>
      <c r="AA133" s="13" cm="1">
        <f t="array" ref="AA133">_xlfn.IFS(S133*O133&gt;0,S133*O133,S133*O133&lt;0,"No need",S133*O133=0,0)</f>
        <v>36000</v>
      </c>
    </row>
    <row r="134" spans="1:27">
      <c r="A134" s="34">
        <v>132</v>
      </c>
      <c r="B134" s="19" t="s">
        <v>83</v>
      </c>
      <c r="C134" s="19" t="s">
        <v>312</v>
      </c>
      <c r="D134" s="9" t="s">
        <v>268</v>
      </c>
      <c r="E134" s="10" t="s">
        <v>228</v>
      </c>
      <c r="F134" s="20" t="s">
        <v>337</v>
      </c>
      <c r="G134" s="22">
        <v>2</v>
      </c>
      <c r="H134" s="34"/>
      <c r="I134" s="22"/>
      <c r="J134" s="22"/>
      <c r="K134" s="22">
        <v>2</v>
      </c>
      <c r="L134" s="22"/>
      <c r="M134" s="22"/>
      <c r="N134" s="22"/>
      <c r="O134" s="23">
        <v>36000</v>
      </c>
      <c r="P134" s="12">
        <f t="shared" si="17"/>
        <v>2976</v>
      </c>
      <c r="Q134" s="12">
        <f t="shared" si="18"/>
        <v>4512</v>
      </c>
      <c r="R134" s="12">
        <f>(P134+Q134)-Stock!E134</f>
        <v>7488</v>
      </c>
      <c r="S134" s="13">
        <f t="shared" si="14"/>
        <v>1</v>
      </c>
      <c r="T134" s="13">
        <f t="shared" si="19"/>
        <v>1</v>
      </c>
      <c r="U134" s="13">
        <f t="shared" ref="U134:U146" si="20">ROUNDUP($Q$2/O134*K134,0)</f>
        <v>1</v>
      </c>
      <c r="V134" s="13">
        <f t="shared" si="15"/>
        <v>36000</v>
      </c>
      <c r="W134" s="13">
        <f t="shared" si="16"/>
        <v>36000</v>
      </c>
      <c r="X134" s="13" cm="1">
        <f t="array" ref="X134">_xlfn.IFS(P134+Q134&gt;Stock!E134,V134,P134+Q134&lt;Stock!E134,"No need",Stock!E134=0,V134,P134+Q134=Stock!E134,"No need")</f>
        <v>36000</v>
      </c>
      <c r="Y134" s="13" cm="1">
        <f t="array" ref="Y134">_xlfn.IFS(P134+Q134&gt;Stock!E134,W134,P134+Q134&lt;Stock!E134,"No need",Stock!E134=0,W134,P134+Q134=Stock!E134,"No need")</f>
        <v>36000</v>
      </c>
      <c r="Z134" s="13" cm="1">
        <f t="array" ref="Z134">_xlfn.IFS(ISNUMBER(X134+Y134),X134+Y134,ISTEXT(X134&amp;Y134),"No need")</f>
        <v>72000</v>
      </c>
      <c r="AA134" s="13" cm="1">
        <f t="array" ref="AA134">_xlfn.IFS(S134*O134&gt;0,S134*O134,S134*O134&lt;0,"No need",S134*O134=0,0)</f>
        <v>36000</v>
      </c>
    </row>
    <row r="135" spans="1:27">
      <c r="A135" s="34">
        <v>133</v>
      </c>
      <c r="B135" s="19" t="s">
        <v>83</v>
      </c>
      <c r="C135" s="19" t="s">
        <v>312</v>
      </c>
      <c r="D135" s="9" t="s">
        <v>269</v>
      </c>
      <c r="E135" s="10" t="s">
        <v>270</v>
      </c>
      <c r="F135" s="20" t="s">
        <v>337</v>
      </c>
      <c r="G135" s="22">
        <v>0</v>
      </c>
      <c r="H135" s="34"/>
      <c r="I135" s="22"/>
      <c r="J135" s="22"/>
      <c r="K135" s="22">
        <v>1</v>
      </c>
      <c r="L135" s="22"/>
      <c r="M135" s="22"/>
      <c r="N135" s="22"/>
      <c r="O135" s="23">
        <v>16000</v>
      </c>
      <c r="P135" s="12">
        <f t="shared" si="17"/>
        <v>0</v>
      </c>
      <c r="Q135" s="12">
        <f t="shared" si="18"/>
        <v>2256</v>
      </c>
      <c r="R135" s="12">
        <f>(P135+Q135)-Stock!E135</f>
        <v>2256</v>
      </c>
      <c r="S135" s="13">
        <f t="shared" si="14"/>
        <v>1</v>
      </c>
      <c r="T135" s="13">
        <f t="shared" si="19"/>
        <v>0</v>
      </c>
      <c r="U135" s="13">
        <f t="shared" si="20"/>
        <v>1</v>
      </c>
      <c r="V135" s="13">
        <f t="shared" si="15"/>
        <v>0</v>
      </c>
      <c r="W135" s="13">
        <f t="shared" si="16"/>
        <v>16000</v>
      </c>
      <c r="X135" s="13" cm="1">
        <f t="array" ref="X135">_xlfn.IFS(P135+Q135&gt;Stock!E135,V135,P135+Q135&lt;Stock!E135,"No need",Stock!E135=0,V135,P135+Q135=Stock!E135,"No need")</f>
        <v>0</v>
      </c>
      <c r="Y135" s="13" cm="1">
        <f t="array" ref="Y135">_xlfn.IFS(P135+Q135&gt;Stock!E135,W135,P135+Q135&lt;Stock!E135,"No need",Stock!E135=0,W135,P135+Q135=Stock!E135,"No need")</f>
        <v>16000</v>
      </c>
      <c r="Z135" s="13" cm="1">
        <f t="array" ref="Z135">_xlfn.IFS(ISNUMBER(X135+Y135),X135+Y135,ISTEXT(X135&amp;Y135),"No need")</f>
        <v>16000</v>
      </c>
      <c r="AA135" s="13" cm="1">
        <f t="array" ref="AA135">_xlfn.IFS(S135*O135&gt;0,S135*O135,S135*O135&lt;0,"No need",S135*O135=0,0)</f>
        <v>16000</v>
      </c>
    </row>
    <row r="136" spans="1:27">
      <c r="A136" s="34">
        <v>134</v>
      </c>
      <c r="B136" s="19" t="s">
        <v>83</v>
      </c>
      <c r="C136" s="19" t="s">
        <v>312</v>
      </c>
      <c r="D136" s="9" t="s">
        <v>271</v>
      </c>
      <c r="E136" s="10" t="s">
        <v>272</v>
      </c>
      <c r="F136" s="20" t="s">
        <v>338</v>
      </c>
      <c r="G136" s="22">
        <v>7.7300000000000008E-2</v>
      </c>
      <c r="H136" s="34"/>
      <c r="I136" s="22"/>
      <c r="J136" s="22"/>
      <c r="K136" s="22">
        <v>0.1139</v>
      </c>
      <c r="L136" s="22"/>
      <c r="M136" s="22"/>
      <c r="N136" s="22"/>
      <c r="O136" s="23">
        <v>1900</v>
      </c>
      <c r="P136" s="12">
        <f t="shared" si="17"/>
        <v>115.0224</v>
      </c>
      <c r="Q136" s="12">
        <f t="shared" si="18"/>
        <v>256.95839999999998</v>
      </c>
      <c r="R136" s="12">
        <f>(P136+Q136)-Stock!E136</f>
        <v>371.98079999999999</v>
      </c>
      <c r="S136" s="13">
        <f t="shared" si="14"/>
        <v>1</v>
      </c>
      <c r="T136" s="13">
        <f t="shared" si="19"/>
        <v>1</v>
      </c>
      <c r="U136" s="13">
        <f t="shared" si="20"/>
        <v>1</v>
      </c>
      <c r="V136" s="13">
        <f t="shared" si="15"/>
        <v>1900</v>
      </c>
      <c r="W136" s="13">
        <f t="shared" si="16"/>
        <v>1900</v>
      </c>
      <c r="X136" s="13" cm="1">
        <f t="array" ref="X136">_xlfn.IFS(P136+Q136&gt;Stock!E136,V136,P136+Q136&lt;Stock!E136,"No need",Stock!E136=0,V136,P136+Q136=Stock!E136,"No need")</f>
        <v>1900</v>
      </c>
      <c r="Y136" s="13" cm="1">
        <f t="array" ref="Y136">_xlfn.IFS(P136+Q136&gt;Stock!E136,W136,P136+Q136&lt;Stock!E136,"No need",Stock!E136=0,W136,P136+Q136=Stock!E136,"No need")</f>
        <v>1900</v>
      </c>
      <c r="Z136" s="13" cm="1">
        <f t="array" ref="Z136">_xlfn.IFS(ISNUMBER(X136+Y136),X136+Y136,ISTEXT(X136&amp;Y136),"No need")</f>
        <v>3800</v>
      </c>
      <c r="AA136" s="13" cm="1">
        <f t="array" ref="AA136">_xlfn.IFS(S136*O136&gt;0,S136*O136,S136*O136&lt;0,"No need",S136*O136=0,0)</f>
        <v>1900</v>
      </c>
    </row>
    <row r="137" spans="1:27">
      <c r="A137" s="34">
        <v>135</v>
      </c>
      <c r="B137" s="19" t="s">
        <v>83</v>
      </c>
      <c r="C137" s="19" t="s">
        <v>312</v>
      </c>
      <c r="D137" s="9" t="s">
        <v>273</v>
      </c>
      <c r="E137" s="10" t="s">
        <v>274</v>
      </c>
      <c r="F137" s="20" t="s">
        <v>338</v>
      </c>
      <c r="G137" s="22">
        <v>0.7</v>
      </c>
      <c r="H137" s="34"/>
      <c r="I137" s="22"/>
      <c r="J137" s="22"/>
      <c r="K137" s="22">
        <v>1.08</v>
      </c>
      <c r="L137" s="22"/>
      <c r="M137" s="22"/>
      <c r="N137" s="22"/>
      <c r="O137" s="23">
        <v>7160</v>
      </c>
      <c r="P137" s="12">
        <f t="shared" si="17"/>
        <v>1041.5999999999999</v>
      </c>
      <c r="Q137" s="12">
        <f t="shared" si="18"/>
        <v>2436.48</v>
      </c>
      <c r="R137" s="12">
        <f>(P137+Q137)-Stock!E137</f>
        <v>3478.08</v>
      </c>
      <c r="S137" s="13">
        <f t="shared" si="14"/>
        <v>1</v>
      </c>
      <c r="T137" s="13">
        <f t="shared" si="19"/>
        <v>1</v>
      </c>
      <c r="U137" s="13">
        <f t="shared" si="20"/>
        <v>1</v>
      </c>
      <c r="V137" s="13">
        <f t="shared" si="15"/>
        <v>7160</v>
      </c>
      <c r="W137" s="13">
        <f t="shared" si="16"/>
        <v>7160</v>
      </c>
      <c r="X137" s="13" cm="1">
        <f t="array" ref="X137">_xlfn.IFS(P137+Q137&gt;Stock!E137,V137,P137+Q137&lt;Stock!E137,"No need",Stock!E137=0,V137,P137+Q137=Stock!E137,"No need")</f>
        <v>7160</v>
      </c>
      <c r="Y137" s="13" cm="1">
        <f t="array" ref="Y137">_xlfn.IFS(P137+Q137&gt;Stock!E137,W137,P137+Q137&lt;Stock!E137,"No need",Stock!E137=0,W137,P137+Q137=Stock!E137,"No need")</f>
        <v>7160</v>
      </c>
      <c r="Z137" s="13" cm="1">
        <f t="array" ref="Z137">_xlfn.IFS(ISNUMBER(X137+Y137),X137+Y137,ISTEXT(X137&amp;Y137),"No need")</f>
        <v>14320</v>
      </c>
      <c r="AA137" s="13" cm="1">
        <f t="array" ref="AA137">_xlfn.IFS(S137*O137&gt;0,S137*O137,S137*O137&lt;0,"No need",S137*O137=0,0)</f>
        <v>7160</v>
      </c>
    </row>
    <row r="138" spans="1:27">
      <c r="A138" s="34">
        <v>136</v>
      </c>
      <c r="B138" s="19" t="s">
        <v>83</v>
      </c>
      <c r="C138" s="19" t="s">
        <v>312</v>
      </c>
      <c r="D138" s="9" t="s">
        <v>275</v>
      </c>
      <c r="E138" s="10" t="s">
        <v>276</v>
      </c>
      <c r="F138" s="20" t="s">
        <v>349</v>
      </c>
      <c r="G138" s="22">
        <v>0.2</v>
      </c>
      <c r="H138" s="34"/>
      <c r="I138" s="22"/>
      <c r="J138" s="22"/>
      <c r="K138" s="22">
        <v>0.24</v>
      </c>
      <c r="L138" s="22"/>
      <c r="M138" s="22"/>
      <c r="N138" s="22"/>
      <c r="O138" s="23">
        <v>4000</v>
      </c>
      <c r="P138" s="12">
        <f t="shared" si="17"/>
        <v>297.60000000000002</v>
      </c>
      <c r="Q138" s="12">
        <f t="shared" si="18"/>
        <v>541.43999999999994</v>
      </c>
      <c r="R138" s="12">
        <f>(P138+Q138)-Stock!E138</f>
        <v>839.04</v>
      </c>
      <c r="S138" s="13">
        <f t="shared" si="14"/>
        <v>1</v>
      </c>
      <c r="T138" s="13">
        <f t="shared" si="19"/>
        <v>1</v>
      </c>
      <c r="U138" s="13">
        <f t="shared" si="20"/>
        <v>1</v>
      </c>
      <c r="V138" s="13">
        <f t="shared" si="15"/>
        <v>4000</v>
      </c>
      <c r="W138" s="13">
        <f t="shared" si="16"/>
        <v>4000</v>
      </c>
      <c r="X138" s="13" cm="1">
        <f t="array" ref="X138">_xlfn.IFS(P138+Q138&gt;Stock!E138,V138,P138+Q138&lt;Stock!E138,"No need",Stock!E138=0,V138,P138+Q138=Stock!E138,"No need")</f>
        <v>4000</v>
      </c>
      <c r="Y138" s="13" cm="1">
        <f t="array" ref="Y138">_xlfn.IFS(P138+Q138&gt;Stock!E138,W138,P138+Q138&lt;Stock!E138,"No need",Stock!E138=0,W138,P138+Q138=Stock!E138,"No need")</f>
        <v>4000</v>
      </c>
      <c r="Z138" s="13" cm="1">
        <f t="array" ref="Z138">_xlfn.IFS(ISNUMBER(X138+Y138),X138+Y138,ISTEXT(X138&amp;Y138),"No need")</f>
        <v>8000</v>
      </c>
      <c r="AA138" s="13" cm="1">
        <f t="array" ref="AA138">_xlfn.IFS(S138*O138&gt;0,S138*O138,S138*O138&lt;0,"No need",S138*O138=0,0)</f>
        <v>4000</v>
      </c>
    </row>
    <row r="139" spans="1:27">
      <c r="A139" s="34">
        <v>137</v>
      </c>
      <c r="B139" s="19" t="s">
        <v>83</v>
      </c>
      <c r="C139" s="19" t="s">
        <v>312</v>
      </c>
      <c r="D139" s="9" t="s">
        <v>277</v>
      </c>
      <c r="E139" s="10" t="s">
        <v>278</v>
      </c>
      <c r="F139" s="20" t="s">
        <v>349</v>
      </c>
      <c r="G139" s="22">
        <v>0.08</v>
      </c>
      <c r="H139" s="34"/>
      <c r="I139" s="22"/>
      <c r="J139" s="22"/>
      <c r="K139" s="22">
        <v>0.12</v>
      </c>
      <c r="L139" s="22"/>
      <c r="M139" s="22"/>
      <c r="N139" s="22"/>
      <c r="O139" s="23">
        <v>2000</v>
      </c>
      <c r="P139" s="12">
        <f t="shared" si="17"/>
        <v>119.04</v>
      </c>
      <c r="Q139" s="12">
        <f t="shared" si="18"/>
        <v>270.71999999999997</v>
      </c>
      <c r="R139" s="12">
        <f>(P139+Q139)-Stock!E139</f>
        <v>389.76</v>
      </c>
      <c r="S139" s="13">
        <f t="shared" si="14"/>
        <v>1</v>
      </c>
      <c r="T139" s="13">
        <f t="shared" si="19"/>
        <v>1</v>
      </c>
      <c r="U139" s="13">
        <f t="shared" si="20"/>
        <v>1</v>
      </c>
      <c r="V139" s="13">
        <f t="shared" si="15"/>
        <v>2000</v>
      </c>
      <c r="W139" s="13">
        <f t="shared" si="16"/>
        <v>2000</v>
      </c>
      <c r="X139" s="13" cm="1">
        <f t="array" ref="X139">_xlfn.IFS(P139+Q139&gt;Stock!E139,V139,P139+Q139&lt;Stock!E139,"No need",Stock!E139=0,V139,P139+Q139=Stock!E139,"No need")</f>
        <v>2000</v>
      </c>
      <c r="Y139" s="13" cm="1">
        <f t="array" ref="Y139">_xlfn.IFS(P139+Q139&gt;Stock!E139,W139,P139+Q139&lt;Stock!E139,"No need",Stock!E139=0,W139,P139+Q139=Stock!E139,"No need")</f>
        <v>2000</v>
      </c>
      <c r="Z139" s="13" cm="1">
        <f t="array" ref="Z139">_xlfn.IFS(ISNUMBER(X139+Y139),X139+Y139,ISTEXT(X139&amp;Y139),"No need")</f>
        <v>4000</v>
      </c>
      <c r="AA139" s="13" cm="1">
        <f t="array" ref="AA139">_xlfn.IFS(S139*O139&gt;0,S139*O139,S139*O139&lt;0,"No need",S139*O139=0,0)</f>
        <v>2000</v>
      </c>
    </row>
    <row r="140" spans="1:27">
      <c r="A140" s="34">
        <v>138</v>
      </c>
      <c r="B140" s="19" t="s">
        <v>83</v>
      </c>
      <c r="C140" s="19" t="s">
        <v>312</v>
      </c>
      <c r="D140" s="9" t="s">
        <v>279</v>
      </c>
      <c r="E140" s="10" t="s">
        <v>280</v>
      </c>
      <c r="F140" s="20" t="s">
        <v>349</v>
      </c>
      <c r="G140" s="22">
        <v>0.16</v>
      </c>
      <c r="H140" s="34"/>
      <c r="I140" s="22"/>
      <c r="J140" s="22"/>
      <c r="K140" s="22">
        <v>0.16</v>
      </c>
      <c r="L140" s="22"/>
      <c r="M140" s="22"/>
      <c r="N140" s="22"/>
      <c r="O140" s="23">
        <v>4000</v>
      </c>
      <c r="P140" s="12">
        <f t="shared" si="17"/>
        <v>238.08</v>
      </c>
      <c r="Q140" s="12">
        <f t="shared" si="18"/>
        <v>360.96</v>
      </c>
      <c r="R140" s="12">
        <f>(P140+Q140)-Stock!E140</f>
        <v>599.04</v>
      </c>
      <c r="S140" s="13">
        <f t="shared" si="14"/>
        <v>1</v>
      </c>
      <c r="T140" s="13">
        <f t="shared" si="19"/>
        <v>1</v>
      </c>
      <c r="U140" s="13">
        <f t="shared" si="20"/>
        <v>1</v>
      </c>
      <c r="V140" s="13">
        <f t="shared" si="15"/>
        <v>4000</v>
      </c>
      <c r="W140" s="13">
        <f t="shared" si="16"/>
        <v>4000</v>
      </c>
      <c r="X140" s="13" cm="1">
        <f t="array" ref="X140">_xlfn.IFS(P140+Q140&gt;Stock!E140,V140,P140+Q140&lt;Stock!E140,"No need",Stock!E140=0,V140,P140+Q140=Stock!E140,"No need")</f>
        <v>4000</v>
      </c>
      <c r="Y140" s="13" cm="1">
        <f t="array" ref="Y140">_xlfn.IFS(P140+Q140&gt;Stock!E140,W140,P140+Q140&lt;Stock!E140,"No need",Stock!E140=0,W140,P140+Q140=Stock!E140,"No need")</f>
        <v>4000</v>
      </c>
      <c r="Z140" s="13" cm="1">
        <f t="array" ref="Z140">_xlfn.IFS(ISNUMBER(X140+Y140),X140+Y140,ISTEXT(X140&amp;Y140),"No need")</f>
        <v>8000</v>
      </c>
      <c r="AA140" s="13" cm="1">
        <f t="array" ref="AA140">_xlfn.IFS(S140*O140&gt;0,S140*O140,S140*O140&lt;0,"No need",S140*O140=0,0)</f>
        <v>4000</v>
      </c>
    </row>
    <row r="141" spans="1:27">
      <c r="A141" s="34">
        <v>139</v>
      </c>
      <c r="B141" s="19" t="s">
        <v>83</v>
      </c>
      <c r="C141" s="19" t="s">
        <v>312</v>
      </c>
      <c r="D141" s="9" t="s">
        <v>281</v>
      </c>
      <c r="E141" s="10" t="s">
        <v>282</v>
      </c>
      <c r="F141" s="20" t="s">
        <v>337</v>
      </c>
      <c r="G141" s="22">
        <v>4</v>
      </c>
      <c r="H141" s="34"/>
      <c r="I141" s="22"/>
      <c r="J141" s="22"/>
      <c r="K141" s="22">
        <v>4</v>
      </c>
      <c r="L141" s="22"/>
      <c r="M141" s="22"/>
      <c r="N141" s="22"/>
      <c r="O141" s="23">
        <v>72000</v>
      </c>
      <c r="P141" s="12">
        <f t="shared" si="17"/>
        <v>5952</v>
      </c>
      <c r="Q141" s="12">
        <f t="shared" si="18"/>
        <v>9024</v>
      </c>
      <c r="R141" s="12">
        <f>(P141+Q141)-Stock!E141</f>
        <v>14976</v>
      </c>
      <c r="S141" s="13">
        <f t="shared" si="14"/>
        <v>1</v>
      </c>
      <c r="T141" s="13">
        <f t="shared" si="19"/>
        <v>1</v>
      </c>
      <c r="U141" s="13">
        <f t="shared" si="20"/>
        <v>1</v>
      </c>
      <c r="V141" s="13">
        <f t="shared" si="15"/>
        <v>72000</v>
      </c>
      <c r="W141" s="13">
        <f t="shared" si="16"/>
        <v>72000</v>
      </c>
      <c r="X141" s="13" cm="1">
        <f t="array" ref="X141">_xlfn.IFS(P141+Q141&gt;Stock!E141,V141,P141+Q141&lt;Stock!E141,"No need",Stock!E141=0,V141,P141+Q141=Stock!E141,"No need")</f>
        <v>72000</v>
      </c>
      <c r="Y141" s="13" cm="1">
        <f t="array" ref="Y141">_xlfn.IFS(P141+Q141&gt;Stock!E141,W141,P141+Q141&lt;Stock!E141,"No need",Stock!E141=0,W141,P141+Q141=Stock!E141,"No need")</f>
        <v>72000</v>
      </c>
      <c r="Z141" s="13" cm="1">
        <f t="array" ref="Z141">_xlfn.IFS(ISNUMBER(X141+Y141),X141+Y141,ISTEXT(X141&amp;Y141),"No need")</f>
        <v>144000</v>
      </c>
      <c r="AA141" s="13" cm="1">
        <f t="array" ref="AA141">_xlfn.IFS(S141*O141&gt;0,S141*O141,S141*O141&lt;0,"No need",S141*O141=0,0)</f>
        <v>72000</v>
      </c>
    </row>
    <row r="142" spans="1:27">
      <c r="A142" s="34">
        <v>140</v>
      </c>
      <c r="B142" s="19" t="s">
        <v>83</v>
      </c>
      <c r="C142" s="19" t="s">
        <v>312</v>
      </c>
      <c r="D142" s="9" t="s">
        <v>283</v>
      </c>
      <c r="E142" s="10" t="s">
        <v>284</v>
      </c>
      <c r="F142" s="20" t="s">
        <v>337</v>
      </c>
      <c r="G142" s="22">
        <v>4</v>
      </c>
      <c r="H142" s="34"/>
      <c r="I142" s="22"/>
      <c r="J142" s="22"/>
      <c r="K142" s="22">
        <v>4</v>
      </c>
      <c r="L142" s="22"/>
      <c r="M142" s="22"/>
      <c r="N142" s="22"/>
      <c r="O142" s="23">
        <v>72000</v>
      </c>
      <c r="P142" s="12">
        <f t="shared" si="17"/>
        <v>5952</v>
      </c>
      <c r="Q142" s="12">
        <f t="shared" si="18"/>
        <v>9024</v>
      </c>
      <c r="R142" s="12">
        <f>(P142+Q142)-Stock!E142</f>
        <v>14976</v>
      </c>
      <c r="S142" s="13">
        <f t="shared" si="14"/>
        <v>1</v>
      </c>
      <c r="T142" s="13">
        <f t="shared" si="19"/>
        <v>1</v>
      </c>
      <c r="U142" s="13">
        <f t="shared" si="20"/>
        <v>1</v>
      </c>
      <c r="V142" s="13">
        <f t="shared" si="15"/>
        <v>72000</v>
      </c>
      <c r="W142" s="13">
        <f t="shared" si="16"/>
        <v>72000</v>
      </c>
      <c r="X142" s="13" cm="1">
        <f t="array" ref="X142">_xlfn.IFS(P142+Q142&gt;Stock!E142,V142,P142+Q142&lt;Stock!E142,"No need",Stock!E142=0,V142,P142+Q142=Stock!E142,"No need")</f>
        <v>72000</v>
      </c>
      <c r="Y142" s="13" cm="1">
        <f t="array" ref="Y142">_xlfn.IFS(P142+Q142&gt;Stock!E142,W142,P142+Q142&lt;Stock!E142,"No need",Stock!E142=0,W142,P142+Q142=Stock!E142,"No need")</f>
        <v>72000</v>
      </c>
      <c r="Z142" s="13" cm="1">
        <f t="array" ref="Z142">_xlfn.IFS(ISNUMBER(X142+Y142),X142+Y142,ISTEXT(X142&amp;Y142),"No need")</f>
        <v>144000</v>
      </c>
      <c r="AA142" s="13" cm="1">
        <f t="array" ref="AA142">_xlfn.IFS(S142*O142&gt;0,S142*O142,S142*O142&lt;0,"No need",S142*O142=0,0)</f>
        <v>72000</v>
      </c>
    </row>
    <row r="143" spans="1:27">
      <c r="A143" s="34">
        <v>141</v>
      </c>
      <c r="B143" s="19" t="s">
        <v>83</v>
      </c>
      <c r="C143" s="19" t="s">
        <v>312</v>
      </c>
      <c r="D143" s="9" t="s">
        <v>285</v>
      </c>
      <c r="E143" s="10" t="s">
        <v>286</v>
      </c>
      <c r="F143" s="20" t="s">
        <v>337</v>
      </c>
      <c r="G143" s="22">
        <v>4</v>
      </c>
      <c r="H143" s="34"/>
      <c r="I143" s="22"/>
      <c r="J143" s="22"/>
      <c r="K143" s="22">
        <v>4</v>
      </c>
      <c r="L143" s="22"/>
      <c r="M143" s="22"/>
      <c r="N143" s="22"/>
      <c r="O143" s="23">
        <v>72000</v>
      </c>
      <c r="P143" s="12">
        <f t="shared" si="17"/>
        <v>5952</v>
      </c>
      <c r="Q143" s="12">
        <f t="shared" si="18"/>
        <v>9024</v>
      </c>
      <c r="R143" s="12">
        <f>(P143+Q143)-Stock!E143</f>
        <v>14976</v>
      </c>
      <c r="S143" s="13">
        <f t="shared" si="14"/>
        <v>1</v>
      </c>
      <c r="T143" s="13">
        <f t="shared" si="19"/>
        <v>1</v>
      </c>
      <c r="U143" s="13">
        <f t="shared" si="20"/>
        <v>1</v>
      </c>
      <c r="V143" s="13">
        <f t="shared" si="15"/>
        <v>72000</v>
      </c>
      <c r="W143" s="13">
        <f t="shared" si="16"/>
        <v>72000</v>
      </c>
      <c r="X143" s="13" cm="1">
        <f t="array" ref="X143">_xlfn.IFS(P143+Q143&gt;Stock!E143,V143,P143+Q143&lt;Stock!E143,"No need",Stock!E143=0,V143,P143+Q143=Stock!E143,"No need")</f>
        <v>72000</v>
      </c>
      <c r="Y143" s="13" cm="1">
        <f t="array" ref="Y143">_xlfn.IFS(P143+Q143&gt;Stock!E143,W143,P143+Q143&lt;Stock!E143,"No need",Stock!E143=0,W143,P143+Q143=Stock!E143,"No need")</f>
        <v>72000</v>
      </c>
      <c r="Z143" s="13" cm="1">
        <f t="array" ref="Z143">_xlfn.IFS(ISNUMBER(X143+Y143),X143+Y143,ISTEXT(X143&amp;Y143),"No need")</f>
        <v>144000</v>
      </c>
      <c r="AA143" s="13" cm="1">
        <f t="array" ref="AA143">_xlfn.IFS(S143*O143&gt;0,S143*O143,S143*O143&lt;0,"No need",S143*O143=0,0)</f>
        <v>72000</v>
      </c>
    </row>
    <row r="144" spans="1:27">
      <c r="A144" s="34">
        <v>142</v>
      </c>
      <c r="B144" s="19" t="s">
        <v>83</v>
      </c>
      <c r="C144" s="19" t="s">
        <v>312</v>
      </c>
      <c r="D144" s="9" t="s">
        <v>287</v>
      </c>
      <c r="E144" s="10" t="str">
        <f>_xlfn.XLOOKUP(D144,[1]Sheet2!$A:$A,[1]Sheet2!$B:$B)</f>
        <v>RIBBON 20 RP RIBBON</v>
      </c>
      <c r="F144" s="20" t="s">
        <v>349</v>
      </c>
      <c r="G144" s="22">
        <v>0</v>
      </c>
      <c r="H144" s="34"/>
      <c r="I144" s="22"/>
      <c r="J144" s="22"/>
      <c r="K144" s="22">
        <v>0.96</v>
      </c>
      <c r="L144" s="22"/>
      <c r="M144" s="22"/>
      <c r="N144" s="22"/>
      <c r="O144" s="23">
        <v>14000</v>
      </c>
      <c r="P144" s="12">
        <f t="shared" si="17"/>
        <v>0</v>
      </c>
      <c r="Q144" s="12">
        <f t="shared" si="18"/>
        <v>2165.7599999999998</v>
      </c>
      <c r="R144" s="12">
        <f>(P144+Q144)-Stock!E144</f>
        <v>2165.7599999999998</v>
      </c>
      <c r="S144" s="13">
        <f t="shared" si="14"/>
        <v>1</v>
      </c>
      <c r="T144" s="13">
        <f t="shared" si="19"/>
        <v>0</v>
      </c>
      <c r="U144" s="13">
        <f t="shared" si="20"/>
        <v>1</v>
      </c>
      <c r="V144" s="13">
        <f t="shared" si="15"/>
        <v>0</v>
      </c>
      <c r="W144" s="13">
        <f t="shared" si="16"/>
        <v>14000</v>
      </c>
      <c r="X144" s="13" cm="1">
        <f t="array" ref="X144">_xlfn.IFS(P144+Q144&gt;Stock!E144,V144,P144+Q144&lt;Stock!E144,"No need",Stock!E144=0,V144,P144+Q144=Stock!E144,"No need")</f>
        <v>0</v>
      </c>
      <c r="Y144" s="13" cm="1">
        <f t="array" ref="Y144">_xlfn.IFS(P144+Q144&gt;Stock!E144,W144,P144+Q144&lt;Stock!E144,"No need",Stock!E144=0,W144,P144+Q144=Stock!E144,"No need")</f>
        <v>14000</v>
      </c>
      <c r="Z144" s="13" cm="1">
        <f t="array" ref="Z144">_xlfn.IFS(ISNUMBER(X144+Y144),X144+Y144,ISTEXT(X144&amp;Y144),"No need")</f>
        <v>14000</v>
      </c>
      <c r="AA144" s="13" cm="1">
        <f t="array" ref="AA144">_xlfn.IFS(S144*O144&gt;0,S144*O144,S144*O144&lt;0,"No need",S144*O144=0,0)</f>
        <v>14000</v>
      </c>
    </row>
    <row r="145" spans="1:27">
      <c r="A145" s="34">
        <v>143</v>
      </c>
      <c r="B145" s="19" t="s">
        <v>83</v>
      </c>
      <c r="C145" s="19" t="s">
        <v>312</v>
      </c>
      <c r="D145" s="9" t="s">
        <v>288</v>
      </c>
      <c r="E145" s="10" t="s">
        <v>314</v>
      </c>
      <c r="F145" s="20" t="s">
        <v>349</v>
      </c>
      <c r="G145" s="22">
        <v>0</v>
      </c>
      <c r="H145" s="34"/>
      <c r="I145" s="22"/>
      <c r="J145" s="22"/>
      <c r="K145" s="22">
        <v>13.574000000000002</v>
      </c>
      <c r="L145" s="22"/>
      <c r="M145" s="22"/>
      <c r="N145" s="22"/>
      <c r="O145" s="23">
        <v>260000</v>
      </c>
      <c r="P145" s="12">
        <f t="shared" si="17"/>
        <v>0</v>
      </c>
      <c r="Q145" s="12">
        <f t="shared" si="18"/>
        <v>30622.944000000003</v>
      </c>
      <c r="R145" s="12">
        <f>(P145+Q145)-Stock!E145</f>
        <v>30622.944000000003</v>
      </c>
      <c r="S145" s="13">
        <f t="shared" si="14"/>
        <v>1</v>
      </c>
      <c r="T145" s="13">
        <f t="shared" si="19"/>
        <v>0</v>
      </c>
      <c r="U145" s="13">
        <f t="shared" si="20"/>
        <v>1</v>
      </c>
      <c r="V145" s="13">
        <f t="shared" si="15"/>
        <v>0</v>
      </c>
      <c r="W145" s="13">
        <f t="shared" si="16"/>
        <v>260000</v>
      </c>
      <c r="X145" s="13" cm="1">
        <f t="array" ref="X145">_xlfn.IFS(P145+Q145&gt;Stock!E145,V145,P145+Q145&lt;Stock!E145,"No need",Stock!E145=0,V145,P145+Q145=Stock!E145,"No need")</f>
        <v>0</v>
      </c>
      <c r="Y145" s="13" cm="1">
        <f t="array" ref="Y145">_xlfn.IFS(P145+Q145&gt;Stock!E145,W145,P145+Q145&lt;Stock!E145,"No need",Stock!E145=0,W145,P145+Q145=Stock!E145,"No need")</f>
        <v>260000</v>
      </c>
      <c r="Z145" s="13" cm="1">
        <f t="array" ref="Z145">_xlfn.IFS(ISNUMBER(X145+Y145),X145+Y145,ISTEXT(X145&amp;Y145),"No need")</f>
        <v>260000</v>
      </c>
      <c r="AA145" s="13" cm="1">
        <f t="array" ref="AA145">_xlfn.IFS(S145*O145&gt;0,S145*O145,S145*O145&lt;0,"No need",S145*O145=0,0)</f>
        <v>260000</v>
      </c>
    </row>
    <row r="146" spans="1:27">
      <c r="A146" s="34">
        <v>144</v>
      </c>
      <c r="B146" s="19" t="s">
        <v>83</v>
      </c>
      <c r="C146" s="19" t="s">
        <v>312</v>
      </c>
      <c r="D146" s="9" t="s">
        <v>289</v>
      </c>
      <c r="E146" s="10" t="s">
        <v>226</v>
      </c>
      <c r="F146" s="20" t="s">
        <v>349</v>
      </c>
      <c r="G146" s="22">
        <v>0</v>
      </c>
      <c r="H146" s="34"/>
      <c r="I146" s="22"/>
      <c r="J146" s="22"/>
      <c r="K146" s="22">
        <v>19.719000000000001</v>
      </c>
      <c r="L146" s="22"/>
      <c r="M146" s="22"/>
      <c r="N146" s="22"/>
      <c r="O146" s="23">
        <v>400000</v>
      </c>
      <c r="P146" s="12">
        <f t="shared" si="17"/>
        <v>0</v>
      </c>
      <c r="Q146" s="12">
        <f t="shared" si="18"/>
        <v>44486.064000000006</v>
      </c>
      <c r="R146" s="12">
        <f>(P146+Q146)-Stock!E146</f>
        <v>44486.064000000006</v>
      </c>
      <c r="S146" s="13">
        <f t="shared" si="14"/>
        <v>1</v>
      </c>
      <c r="T146" s="13">
        <f t="shared" si="19"/>
        <v>0</v>
      </c>
      <c r="U146" s="13">
        <f t="shared" si="20"/>
        <v>1</v>
      </c>
      <c r="V146" s="13">
        <f t="shared" si="15"/>
        <v>0</v>
      </c>
      <c r="W146" s="13">
        <f t="shared" si="16"/>
        <v>400000</v>
      </c>
      <c r="X146" s="13" cm="1">
        <f t="array" ref="X146">_xlfn.IFS(P146+Q146&gt;Stock!E146,V146,P146+Q146&lt;Stock!E146,"No need",Stock!E146=0,V146,P146+Q146=Stock!E146,"No need")</f>
        <v>0</v>
      </c>
      <c r="Y146" s="13" cm="1">
        <f t="array" ref="Y146">_xlfn.IFS(P146+Q146&gt;Stock!E146,W146,P146+Q146&lt;Stock!E146,"No need",Stock!E146=0,W146,P146+Q146=Stock!E146,"No need")</f>
        <v>400000</v>
      </c>
      <c r="Z146" s="13" cm="1">
        <f t="array" ref="Z146">_xlfn.IFS(ISNUMBER(X146+Y146),X146+Y146,ISTEXT(X146&amp;Y146),"No need")</f>
        <v>400000</v>
      </c>
      <c r="AA146" s="13" cm="1">
        <f t="array" ref="AA146">_xlfn.IFS(S146*O146&gt;0,S146*O146,S146*O146&lt;0,"No need",S146*O146=0,0)</f>
        <v>400000</v>
      </c>
    </row>
    <row r="147" spans="1:27">
      <c r="A147" s="34">
        <v>145</v>
      </c>
      <c r="B147" s="30" t="s">
        <v>83</v>
      </c>
      <c r="C147" s="30" t="s">
        <v>392</v>
      </c>
      <c r="D147" s="31" t="s">
        <v>313</v>
      </c>
      <c r="E147" s="32" t="s">
        <v>315</v>
      </c>
      <c r="F147" s="20" t="s">
        <v>338</v>
      </c>
      <c r="G147" s="70">
        <v>0.68</v>
      </c>
      <c r="H147" s="34"/>
      <c r="I147" s="33"/>
      <c r="J147" s="33"/>
      <c r="K147" s="33">
        <v>0.5</v>
      </c>
      <c r="L147" s="33"/>
      <c r="M147" s="33"/>
      <c r="N147" s="33"/>
      <c r="O147" s="23">
        <v>200</v>
      </c>
      <c r="P147" s="12">
        <f t="shared" ref="P147:P154" si="21">G147*$P$2</f>
        <v>1011.84</v>
      </c>
      <c r="Q147" s="12">
        <f t="shared" ref="Q147:Q154" si="22">K147*$Q$2</f>
        <v>1128</v>
      </c>
      <c r="R147" s="12">
        <f>(P147+Q147)-Stock!E147</f>
        <v>2139.84</v>
      </c>
      <c r="S147" s="13">
        <f t="shared" ref="S147:S154" si="23">ROUNDUP(R147/O147,0)</f>
        <v>11</v>
      </c>
      <c r="T147" s="13">
        <f t="shared" ref="T147:T154" si="24">ROUNDUP($P$2/O147*G147,0)</f>
        <v>6</v>
      </c>
      <c r="U147" s="13">
        <f t="shared" ref="U147:U154" si="25">ROUNDUP($Q$2/O147*K147,0)</f>
        <v>6</v>
      </c>
      <c r="V147" s="13">
        <f>T147*O147</f>
        <v>1200</v>
      </c>
      <c r="W147" s="13">
        <f t="shared" ref="W147:W154" si="26">O147*U147</f>
        <v>1200</v>
      </c>
      <c r="X147" s="13" cm="1">
        <f t="array" ref="X147">_xlfn.IFS(P147+Q147&gt;Stock!E147,V147,P147+Q147&lt;Stock!E147,"No need",Stock!E147=0,V147,P147+Q147=Stock!E147,"No need")</f>
        <v>1200</v>
      </c>
      <c r="Y147" s="13" cm="1">
        <f t="array" ref="Y147">_xlfn.IFS(P147+Q147&gt;Stock!E147,W147,P147+Q147&lt;Stock!E147,"No need",Stock!E147=0,W147,P147+Q147=Stock!E147,"No need")</f>
        <v>1200</v>
      </c>
      <c r="Z147" s="13" cm="1">
        <f t="array" ref="Z147">_xlfn.IFS(ISNUMBER(X147+Y147),X147+Y147,ISTEXT(X147&amp;Y147),"No need")</f>
        <v>2400</v>
      </c>
      <c r="AA147" s="13" cm="1">
        <f t="array" ref="AA147">_xlfn.IFS(S147*O147&gt;0,S147*O147,S147*O147&lt;0,"No need",S147*O147=0,0)</f>
        <v>2200</v>
      </c>
    </row>
    <row r="148" spans="1:27">
      <c r="A148" s="34">
        <v>146</v>
      </c>
      <c r="B148" s="30" t="s">
        <v>83</v>
      </c>
      <c r="C148" s="30" t="s">
        <v>392</v>
      </c>
      <c r="D148" s="31" t="s">
        <v>316</v>
      </c>
      <c r="E148" s="32" t="s">
        <v>317</v>
      </c>
      <c r="F148" s="20" t="s">
        <v>338</v>
      </c>
      <c r="G148" s="33">
        <v>3.1E-2</v>
      </c>
      <c r="H148" s="34"/>
      <c r="I148" s="33"/>
      <c r="J148" s="33"/>
      <c r="K148" s="33">
        <v>0</v>
      </c>
      <c r="L148" s="33"/>
      <c r="M148" s="33"/>
      <c r="N148" s="33"/>
      <c r="O148" s="23">
        <v>200</v>
      </c>
      <c r="P148" s="12">
        <f t="shared" si="21"/>
        <v>46.128</v>
      </c>
      <c r="Q148" s="12">
        <f t="shared" si="22"/>
        <v>0</v>
      </c>
      <c r="R148" s="12">
        <f>(P148+Q148)-Stock!E148</f>
        <v>46.128</v>
      </c>
      <c r="S148" s="13">
        <f t="shared" si="23"/>
        <v>1</v>
      </c>
      <c r="T148" s="13">
        <f t="shared" si="24"/>
        <v>1</v>
      </c>
      <c r="U148" s="13">
        <f t="shared" si="25"/>
        <v>0</v>
      </c>
      <c r="V148" s="13">
        <f t="shared" ref="V148:V154" si="27">T148*O148</f>
        <v>200</v>
      </c>
      <c r="W148" s="13">
        <f t="shared" si="26"/>
        <v>0</v>
      </c>
      <c r="X148" s="13" cm="1">
        <f t="array" ref="X148">_xlfn.IFS(P148+Q148&gt;Stock!E148,V148,P148+Q148&lt;Stock!E148,"No need",Stock!E148=0,V148,P148+Q148=Stock!E148,"No need")</f>
        <v>200</v>
      </c>
      <c r="Y148" s="13" cm="1">
        <f t="array" ref="Y148">_xlfn.IFS(P148+Q148&gt;Stock!E148,W148,P148+Q148&lt;Stock!E148,"No need",Stock!E148=0,W148,P148+Q148=Stock!E148,"No need")</f>
        <v>0</v>
      </c>
      <c r="Z148" s="13" cm="1">
        <f t="array" ref="Z148">_xlfn.IFS(ISNUMBER(X148+Y148),X148+Y148,ISTEXT(X148&amp;Y148),"No need")</f>
        <v>200</v>
      </c>
      <c r="AA148" s="13" cm="1">
        <f t="array" ref="AA148">_xlfn.IFS(S148*O148&gt;0,S148*O148,S148*O148&lt;0,"No need",S148*O148=0,0)</f>
        <v>200</v>
      </c>
    </row>
    <row r="149" spans="1:27">
      <c r="A149" s="34">
        <v>147</v>
      </c>
      <c r="B149" s="30" t="s">
        <v>83</v>
      </c>
      <c r="C149" s="30" t="s">
        <v>392</v>
      </c>
      <c r="D149" s="31" t="s">
        <v>318</v>
      </c>
      <c r="E149" s="32" t="s">
        <v>319</v>
      </c>
      <c r="F149" s="20" t="s">
        <v>338</v>
      </c>
      <c r="G149" s="33">
        <v>0</v>
      </c>
      <c r="H149" s="34"/>
      <c r="I149" s="33"/>
      <c r="J149" s="33"/>
      <c r="K149" s="33">
        <v>2.7E-2</v>
      </c>
      <c r="L149" s="33"/>
      <c r="M149" s="33"/>
      <c r="N149" s="33"/>
      <c r="O149" s="23">
        <v>200</v>
      </c>
      <c r="P149" s="12">
        <f t="shared" si="21"/>
        <v>0</v>
      </c>
      <c r="Q149" s="12">
        <f t="shared" si="22"/>
        <v>60.911999999999999</v>
      </c>
      <c r="R149" s="12">
        <f>(P149+Q149)-Stock!E149</f>
        <v>60.911999999999999</v>
      </c>
      <c r="S149" s="13">
        <f t="shared" si="23"/>
        <v>1</v>
      </c>
      <c r="T149" s="13">
        <f t="shared" si="24"/>
        <v>0</v>
      </c>
      <c r="U149" s="13">
        <f t="shared" si="25"/>
        <v>1</v>
      </c>
      <c r="V149" s="13">
        <f t="shared" si="27"/>
        <v>0</v>
      </c>
      <c r="W149" s="13">
        <f t="shared" si="26"/>
        <v>200</v>
      </c>
      <c r="X149" s="13" cm="1">
        <f t="array" ref="X149">_xlfn.IFS(P149+Q149&gt;Stock!E149,V149,P149+Q149&lt;Stock!E149,"No need",Stock!E149=0,V149,P149+Q149=Stock!E149,"No need")</f>
        <v>0</v>
      </c>
      <c r="Y149" s="13" cm="1">
        <f t="array" ref="Y149">_xlfn.IFS(P149+Q149&gt;Stock!E149,W149,P149+Q149&lt;Stock!E149,"No need",Stock!E149=0,W149,P149+Q149=Stock!E149,"No need")</f>
        <v>200</v>
      </c>
      <c r="Z149" s="13" cm="1">
        <f t="array" ref="Z149">_xlfn.IFS(ISNUMBER(X149+Y149),X149+Y149,ISTEXT(X149&amp;Y149),"No need")</f>
        <v>200</v>
      </c>
      <c r="AA149" s="13" cm="1">
        <f t="array" ref="AA149">_xlfn.IFS(S149*O149&gt;0,S149*O149,S149*O149&lt;0,"No need",S149*O149=0,0)</f>
        <v>200</v>
      </c>
    </row>
    <row r="150" spans="1:27">
      <c r="A150" s="34">
        <v>148</v>
      </c>
      <c r="B150" s="30" t="s">
        <v>83</v>
      </c>
      <c r="C150" s="30" t="s">
        <v>391</v>
      </c>
      <c r="D150" s="31" t="s">
        <v>320</v>
      </c>
      <c r="E150" s="32" t="s">
        <v>321</v>
      </c>
      <c r="F150" s="20" t="s">
        <v>338</v>
      </c>
      <c r="G150" s="33">
        <v>0</v>
      </c>
      <c r="H150" s="34"/>
      <c r="I150" s="33"/>
      <c r="J150" s="33"/>
      <c r="K150" s="33">
        <v>1.55</v>
      </c>
      <c r="L150" s="33"/>
      <c r="M150" s="33"/>
      <c r="N150" s="33"/>
      <c r="O150" s="23">
        <v>200</v>
      </c>
      <c r="P150" s="12">
        <f t="shared" si="21"/>
        <v>0</v>
      </c>
      <c r="Q150" s="12">
        <f t="shared" si="22"/>
        <v>3496.8</v>
      </c>
      <c r="R150" s="12">
        <f>(P150+Q150)-Stock!E150</f>
        <v>3496.8</v>
      </c>
      <c r="S150" s="13">
        <f t="shared" si="23"/>
        <v>18</v>
      </c>
      <c r="T150" s="13">
        <f t="shared" si="24"/>
        <v>0</v>
      </c>
      <c r="U150" s="13">
        <f t="shared" si="25"/>
        <v>18</v>
      </c>
      <c r="V150" s="13">
        <f t="shared" si="27"/>
        <v>0</v>
      </c>
      <c r="W150" s="13">
        <f t="shared" si="26"/>
        <v>3600</v>
      </c>
      <c r="X150" s="13" cm="1">
        <f t="array" ref="X150">_xlfn.IFS(P150+Q150&gt;Stock!E150,V150,P150+Q150&lt;Stock!E150,"No need",Stock!E150=0,V150,P150+Q150=Stock!E150,"No need")</f>
        <v>0</v>
      </c>
      <c r="Y150" s="13" cm="1">
        <f t="array" ref="Y150">_xlfn.IFS(P150+Q150&gt;Stock!E150,W150,P150+Q150&lt;Stock!E150,"No need",Stock!E150=0,W150,P150+Q150=Stock!E150,"No need")</f>
        <v>3600</v>
      </c>
      <c r="Z150" s="13" cm="1">
        <f t="array" ref="Z150">_xlfn.IFS(ISNUMBER(X150+Y150),X150+Y150,ISTEXT(X150&amp;Y150),"No need")</f>
        <v>3600</v>
      </c>
      <c r="AA150" s="13" cm="1">
        <f t="array" ref="AA150">_xlfn.IFS(S150*O150&gt;0,S150*O150,S150*O150&lt;0,"No need",S150*O150=0,0)</f>
        <v>3600</v>
      </c>
    </row>
    <row r="151" spans="1:27">
      <c r="A151" s="34">
        <v>149</v>
      </c>
      <c r="B151" s="30" t="s">
        <v>83</v>
      </c>
      <c r="C151" s="30" t="s">
        <v>326</v>
      </c>
      <c r="D151" s="31" t="s">
        <v>322</v>
      </c>
      <c r="E151" s="32" t="s">
        <v>323</v>
      </c>
      <c r="F151" s="20" t="s">
        <v>338</v>
      </c>
      <c r="G151" s="33">
        <v>1.3</v>
      </c>
      <c r="H151" s="34"/>
      <c r="I151" s="33"/>
      <c r="J151" s="33"/>
      <c r="K151" s="33">
        <v>0</v>
      </c>
      <c r="L151" s="33"/>
      <c r="M151" s="33"/>
      <c r="N151" s="33"/>
      <c r="O151" s="23">
        <v>200</v>
      </c>
      <c r="P151" s="12">
        <f t="shared" si="21"/>
        <v>1934.4</v>
      </c>
      <c r="Q151" s="12">
        <f t="shared" si="22"/>
        <v>0</v>
      </c>
      <c r="R151" s="12">
        <f>(P151+Q151)-Stock!E151</f>
        <v>1934.4</v>
      </c>
      <c r="S151" s="13">
        <f t="shared" si="23"/>
        <v>10</v>
      </c>
      <c r="T151" s="13">
        <f t="shared" si="24"/>
        <v>10</v>
      </c>
      <c r="U151" s="13">
        <f t="shared" si="25"/>
        <v>0</v>
      </c>
      <c r="V151" s="13">
        <f t="shared" si="27"/>
        <v>2000</v>
      </c>
      <c r="W151" s="13">
        <f t="shared" si="26"/>
        <v>0</v>
      </c>
      <c r="X151" s="13" cm="1">
        <f t="array" ref="X151">_xlfn.IFS(P151+Q151&gt;Stock!E151,V151,P151+Q151&lt;Stock!E151,"No need",Stock!E151=0,V151,P151+Q151=Stock!E151,"No need")</f>
        <v>2000</v>
      </c>
      <c r="Y151" s="13" cm="1">
        <f t="array" ref="Y151">_xlfn.IFS(P151+Q151&gt;Stock!E151,W151,P151+Q151&lt;Stock!E151,"No need",Stock!E151=0,W151,P151+Q151=Stock!E151,"No need")</f>
        <v>0</v>
      </c>
      <c r="Z151" s="13" cm="1">
        <f t="array" ref="Z151">_xlfn.IFS(ISNUMBER(X151+Y151),X151+Y151,ISTEXT(X151&amp;Y151),"No need")</f>
        <v>2000</v>
      </c>
      <c r="AA151" s="13" cm="1">
        <f t="array" ref="AA151">_xlfn.IFS(S151*O151&gt;0,S151*O151,S151*O151&lt;0,"No need",S151*O151=0,0)</f>
        <v>2000</v>
      </c>
    </row>
    <row r="152" spans="1:27">
      <c r="A152" s="34">
        <v>150</v>
      </c>
      <c r="B152" s="30" t="s">
        <v>83</v>
      </c>
      <c r="C152" s="30" t="s">
        <v>326</v>
      </c>
      <c r="D152" s="31" t="s">
        <v>324</v>
      </c>
      <c r="E152" s="32" t="s">
        <v>325</v>
      </c>
      <c r="F152" s="20" t="s">
        <v>338</v>
      </c>
      <c r="G152" s="33">
        <v>0</v>
      </c>
      <c r="H152" s="34"/>
      <c r="I152" s="33"/>
      <c r="J152" s="33"/>
      <c r="K152" s="33">
        <v>4.4999999999999998E-2</v>
      </c>
      <c r="L152" s="33"/>
      <c r="M152" s="33"/>
      <c r="N152" s="33"/>
      <c r="O152" s="23">
        <v>100</v>
      </c>
      <c r="P152" s="12">
        <f t="shared" si="21"/>
        <v>0</v>
      </c>
      <c r="Q152" s="12">
        <f t="shared" si="22"/>
        <v>101.52</v>
      </c>
      <c r="R152" s="12">
        <f>(P152+Q152)-Stock!E152</f>
        <v>101.52</v>
      </c>
      <c r="S152" s="13">
        <f t="shared" si="23"/>
        <v>2</v>
      </c>
      <c r="T152" s="13">
        <f t="shared" si="24"/>
        <v>0</v>
      </c>
      <c r="U152" s="13">
        <f t="shared" si="25"/>
        <v>2</v>
      </c>
      <c r="V152" s="13">
        <f t="shared" si="27"/>
        <v>0</v>
      </c>
      <c r="W152" s="13">
        <f t="shared" si="26"/>
        <v>200</v>
      </c>
      <c r="X152" s="13" cm="1">
        <f t="array" ref="X152">_xlfn.IFS(P152+Q152&gt;Stock!E152,V152,P152+Q152&lt;Stock!E152,"No need",Stock!E152=0,V152,P152+Q152=Stock!E152,"No need")</f>
        <v>0</v>
      </c>
      <c r="Y152" s="13" cm="1">
        <f t="array" ref="Y152">_xlfn.IFS(P152+Q152&gt;Stock!E152,W152,P152+Q152&lt;Stock!E152,"No need",Stock!E152=0,W152,P152+Q152=Stock!E152,"No need")</f>
        <v>200</v>
      </c>
      <c r="Z152" s="13" cm="1">
        <f t="array" ref="Z152">_xlfn.IFS(ISNUMBER(X152+Y152),X152+Y152,ISTEXT(X152&amp;Y152),"No need")</f>
        <v>200</v>
      </c>
      <c r="AA152" s="13" cm="1">
        <f t="array" ref="AA152">_xlfn.IFS(S152*O152&gt;0,S152*O152,S152*O152&lt;0,"No need",S152*O152=0,0)</f>
        <v>200</v>
      </c>
    </row>
    <row r="153" spans="1:27">
      <c r="A153" s="34">
        <v>151</v>
      </c>
      <c r="B153" s="30" t="s">
        <v>83</v>
      </c>
      <c r="C153" s="30" t="s">
        <v>327</v>
      </c>
      <c r="D153" s="31" t="s">
        <v>328</v>
      </c>
      <c r="E153" s="32" t="s">
        <v>329</v>
      </c>
      <c r="F153" s="20" t="s">
        <v>338</v>
      </c>
      <c r="G153" s="33">
        <v>1.1299999999999999</v>
      </c>
      <c r="H153" s="34"/>
      <c r="I153" s="33"/>
      <c r="J153" s="33"/>
      <c r="K153" s="33">
        <v>0</v>
      </c>
      <c r="L153" s="33"/>
      <c r="M153" s="33"/>
      <c r="N153" s="33"/>
      <c r="O153" s="28">
        <v>860</v>
      </c>
      <c r="P153" s="12">
        <f t="shared" si="21"/>
        <v>1681.4399999999998</v>
      </c>
      <c r="Q153" s="12">
        <f t="shared" si="22"/>
        <v>0</v>
      </c>
      <c r="R153" s="12">
        <f>(P153+Q153)-Stock!E153</f>
        <v>1681.4399999999998</v>
      </c>
      <c r="S153" s="13">
        <f t="shared" si="23"/>
        <v>2</v>
      </c>
      <c r="T153" s="13">
        <f t="shared" si="24"/>
        <v>2</v>
      </c>
      <c r="U153" s="13">
        <f t="shared" si="25"/>
        <v>0</v>
      </c>
      <c r="V153" s="13">
        <f t="shared" si="27"/>
        <v>1720</v>
      </c>
      <c r="W153" s="13">
        <f t="shared" si="26"/>
        <v>0</v>
      </c>
      <c r="X153" s="13" cm="1">
        <f t="array" ref="X153">_xlfn.IFS(P153+Q153&gt;Stock!E153,V153,P153+Q153&lt;Stock!E153,"No need",Stock!E153=0,V153,P153+Q153=Stock!E153,"No need")</f>
        <v>1720</v>
      </c>
      <c r="Y153" s="13" cm="1">
        <f t="array" ref="Y153">_xlfn.IFS(P153+Q153&gt;Stock!E153,W153,P153+Q153&lt;Stock!E153,"No need",Stock!E153=0,W153,P153+Q153=Stock!E153,"No need")</f>
        <v>0</v>
      </c>
      <c r="Z153" s="13" cm="1">
        <f t="array" ref="Z153">_xlfn.IFS(ISNUMBER(X153+Y153),X153+Y153,ISTEXT(X153&amp;Y153),"No need")</f>
        <v>1720</v>
      </c>
      <c r="AA153" s="13" cm="1">
        <f t="array" ref="AA153">_xlfn.IFS(S153*O153&gt;0,S153*O153,S153*O153&lt;0,"No need",S153*O153=0,0)</f>
        <v>1720</v>
      </c>
    </row>
    <row r="154" spans="1:27">
      <c r="A154" s="34">
        <v>152</v>
      </c>
      <c r="B154" s="30" t="s">
        <v>83</v>
      </c>
      <c r="C154" s="30" t="s">
        <v>327</v>
      </c>
      <c r="D154" s="31" t="s">
        <v>330</v>
      </c>
      <c r="E154" s="32" t="s">
        <v>331</v>
      </c>
      <c r="F154" s="20" t="s">
        <v>338</v>
      </c>
      <c r="G154" s="33">
        <v>0</v>
      </c>
      <c r="H154" s="34"/>
      <c r="I154" s="33"/>
      <c r="J154" s="33"/>
      <c r="K154" s="33">
        <v>1.2</v>
      </c>
      <c r="L154" s="33"/>
      <c r="M154" s="33"/>
      <c r="N154" s="33"/>
      <c r="O154" s="28">
        <v>860</v>
      </c>
      <c r="P154" s="12">
        <f t="shared" si="21"/>
        <v>0</v>
      </c>
      <c r="Q154" s="12">
        <f t="shared" si="22"/>
        <v>2707.2</v>
      </c>
      <c r="R154" s="12">
        <f>(P154+Q154)-Stock!E154</f>
        <v>2707.2</v>
      </c>
      <c r="S154" s="13">
        <f t="shared" si="23"/>
        <v>4</v>
      </c>
      <c r="T154" s="13">
        <f t="shared" si="24"/>
        <v>0</v>
      </c>
      <c r="U154" s="13">
        <f t="shared" si="25"/>
        <v>4</v>
      </c>
      <c r="V154" s="13">
        <f t="shared" si="27"/>
        <v>0</v>
      </c>
      <c r="W154" s="13">
        <f t="shared" si="26"/>
        <v>3440</v>
      </c>
      <c r="X154" s="13" cm="1">
        <f t="array" ref="X154">_xlfn.IFS(P154+Q154&gt;Stock!E154,V154,P154+Q154&lt;Stock!E154,"No need",Stock!E154=0,V154,P154+Q154=Stock!E154,"No need")</f>
        <v>0</v>
      </c>
      <c r="Y154" s="13" cm="1">
        <f t="array" ref="Y154">_xlfn.IFS(P154+Q154&gt;Stock!E154,W154,P154+Q154&lt;Stock!E154,"No need",Stock!E154=0,W154,P154+Q154=Stock!E154,"No need")</f>
        <v>3440</v>
      </c>
      <c r="Z154" s="13" cm="1">
        <f t="array" ref="Z154">_xlfn.IFS(ISNUMBER(X154+Y154),X154+Y154,ISTEXT(X154&amp;Y154),"No need")</f>
        <v>3440</v>
      </c>
      <c r="AA154" s="13" cm="1">
        <f t="array" ref="AA154">_xlfn.IFS(S154*O154&gt;0,S154*O154,S154*O154&lt;0,"No need",S154*O154=0,0)</f>
        <v>3440</v>
      </c>
    </row>
    <row r="155" spans="1:27">
      <c r="A155" s="34">
        <v>153</v>
      </c>
      <c r="B155" s="30" t="s">
        <v>83</v>
      </c>
      <c r="C155" s="30" t="s">
        <v>327</v>
      </c>
      <c r="D155" s="31" t="s">
        <v>332</v>
      </c>
      <c r="E155" s="32" t="s">
        <v>333</v>
      </c>
      <c r="F155" s="20" t="s">
        <v>338</v>
      </c>
      <c r="G155" s="33">
        <v>0.65</v>
      </c>
      <c r="H155" s="34"/>
      <c r="I155" s="33"/>
      <c r="J155" s="33"/>
      <c r="K155" s="33">
        <v>0.65</v>
      </c>
      <c r="L155" s="33"/>
      <c r="M155" s="33"/>
      <c r="N155" s="33"/>
      <c r="O155" s="28">
        <v>200</v>
      </c>
      <c r="P155" s="12">
        <f t="shared" ref="P155:P156" si="28">G155*$P$2</f>
        <v>967.2</v>
      </c>
      <c r="Q155" s="12">
        <f t="shared" ref="Q155:Q156" si="29">K155*$Q$2</f>
        <v>1466.4</v>
      </c>
      <c r="R155" s="12">
        <f>(P155+Q155)-Stock!E155</f>
        <v>2433.6000000000004</v>
      </c>
      <c r="S155" s="13">
        <f t="shared" ref="S155:S156" si="30">ROUNDUP(R155/O155,0)</f>
        <v>13</v>
      </c>
      <c r="T155" s="13">
        <f t="shared" ref="T155:T156" si="31">ROUNDUP($P$2/O155*G155,0)</f>
        <v>5</v>
      </c>
      <c r="U155" s="13">
        <f t="shared" ref="U155:U156" si="32">ROUNDUP($Q$2/O155*K155,0)</f>
        <v>8</v>
      </c>
      <c r="V155" s="13">
        <f t="shared" ref="V155:V156" si="33">T155*O155</f>
        <v>1000</v>
      </c>
      <c r="W155" s="13">
        <f t="shared" ref="W155:W156" si="34">O155*U155</f>
        <v>1600</v>
      </c>
      <c r="X155" s="13" cm="1">
        <f t="array" ref="X155">_xlfn.IFS(P155+Q155&gt;Stock!E155,V155,P155+Q155&lt;Stock!E155,"No need",Stock!E155=0,V155,P155+Q155=Stock!E155,"No need")</f>
        <v>1000</v>
      </c>
      <c r="Y155" s="13" cm="1">
        <f t="array" ref="Y155">_xlfn.IFS(P155+Q155&gt;Stock!E155,W155,P155+Q155&lt;Stock!E155,"No need",Stock!E155=0,W155,P155+Q155=Stock!E155,"No need")</f>
        <v>1600</v>
      </c>
      <c r="Z155" s="13" cm="1">
        <f t="array" ref="Z155">_xlfn.IFS(ISNUMBER(X155+Y155),X155+Y155,ISTEXT(X155&amp;Y155),"No need")</f>
        <v>2600</v>
      </c>
      <c r="AA155" s="13" cm="1">
        <f t="array" ref="AA155">_xlfn.IFS(S155*O155&gt;0,S155*O155,S155*O155&lt;0,"No need",S155*O155=0,0)</f>
        <v>2600</v>
      </c>
    </row>
    <row r="156" spans="1:27">
      <c r="A156" s="34">
        <v>154</v>
      </c>
      <c r="B156" s="30" t="s">
        <v>83</v>
      </c>
      <c r="C156" s="30" t="s">
        <v>327</v>
      </c>
      <c r="D156" s="31" t="s">
        <v>334</v>
      </c>
      <c r="E156" s="32" t="s">
        <v>335</v>
      </c>
      <c r="F156" s="20" t="s">
        <v>338</v>
      </c>
      <c r="G156" s="33">
        <v>0.06</v>
      </c>
      <c r="H156" s="34"/>
      <c r="I156" s="33"/>
      <c r="J156" s="33"/>
      <c r="K156" s="33">
        <v>0.06</v>
      </c>
      <c r="L156" s="33"/>
      <c r="M156" s="33"/>
      <c r="N156" s="33"/>
      <c r="O156" s="28">
        <v>200</v>
      </c>
      <c r="P156" s="12">
        <f t="shared" si="28"/>
        <v>89.28</v>
      </c>
      <c r="Q156" s="12">
        <f t="shared" si="29"/>
        <v>135.35999999999999</v>
      </c>
      <c r="R156" s="12">
        <f>(P156+Q156)-Stock!E156</f>
        <v>224.64</v>
      </c>
      <c r="S156" s="13">
        <f t="shared" si="30"/>
        <v>2</v>
      </c>
      <c r="T156" s="13">
        <f t="shared" si="31"/>
        <v>1</v>
      </c>
      <c r="U156" s="13">
        <f t="shared" si="32"/>
        <v>1</v>
      </c>
      <c r="V156" s="13">
        <f t="shared" si="33"/>
        <v>200</v>
      </c>
      <c r="W156" s="13">
        <f t="shared" si="34"/>
        <v>200</v>
      </c>
      <c r="X156" s="13" cm="1">
        <f t="array" ref="X156">_xlfn.IFS(P156+Q156&gt;Stock!E156,V156,P156+Q156&lt;Stock!E156,"No need",Stock!E156=0,V156,P156+Q156=Stock!E156,"No need")</f>
        <v>200</v>
      </c>
      <c r="Y156" s="13" cm="1">
        <f t="array" ref="Y156">_xlfn.IFS(P156+Q156&gt;Stock!E156,W156,P156+Q156&lt;Stock!E156,"No need",Stock!E156=0,W156,P156+Q156=Stock!E156,"No need")</f>
        <v>200</v>
      </c>
      <c r="Z156" s="13" cm="1">
        <f t="array" ref="Z156">_xlfn.IFS(ISNUMBER(X156+Y156),X156+Y156,ISTEXT(X156&amp;Y156),"No need")</f>
        <v>400</v>
      </c>
      <c r="AA156" s="13" cm="1">
        <f t="array" ref="AA156">_xlfn.IFS(S156*O156&gt;0,S156*O156,S156*O156&lt;0,"No need",S156*O156=0,0)</f>
        <v>400</v>
      </c>
    </row>
  </sheetData>
  <autoFilter ref="A2:AA156" xr:uid="{AE343538-E763-421A-9171-288C6A8F64E0}"/>
  <phoneticPr fontId="8" type="noConversion"/>
  <conditionalFormatting sqref="G3:N3 H3:H6 I4:K6 L4:N89 G4:G93 H7:K79 I80:K89 H80:H156 I90:N93">
    <cfRule type="cellIs" dxfId="5" priority="4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43099-6091-4EB5-A3D7-656DC3C8A5FF}">
  <sheetPr>
    <tabColor rgb="FFFFFF00"/>
  </sheetPr>
  <dimension ref="A1:E156"/>
  <sheetViews>
    <sheetView topLeftCell="A99" zoomScale="80" zoomScaleNormal="80" workbookViewId="0">
      <selection activeCell="D119" sqref="D119"/>
    </sheetView>
  </sheetViews>
  <sheetFormatPr defaultRowHeight="14.4"/>
  <cols>
    <col min="1" max="1" width="6" bestFit="1" customWidth="1"/>
    <col min="2" max="2" width="11.21875" bestFit="1" customWidth="1"/>
    <col min="3" max="3" width="22.44140625" bestFit="1" customWidth="1"/>
    <col min="4" max="4" width="107.44140625" bestFit="1" customWidth="1"/>
    <col min="5" max="5" width="11.6640625" bestFit="1" customWidth="1"/>
    <col min="6" max="6" width="40.88671875" bestFit="1" customWidth="1"/>
    <col min="7" max="7" width="4.5546875" bestFit="1" customWidth="1"/>
    <col min="8" max="8" width="7" bestFit="1" customWidth="1"/>
    <col min="9" max="9" width="3" bestFit="1" customWidth="1"/>
    <col min="10" max="10" width="5.77734375" bestFit="1" customWidth="1"/>
    <col min="11" max="11" width="5.6640625" bestFit="1" customWidth="1"/>
  </cols>
  <sheetData>
    <row r="1" spans="1:5">
      <c r="A1" s="13"/>
      <c r="B1" s="13"/>
      <c r="C1" s="13"/>
      <c r="D1" s="13"/>
      <c r="E1" s="13"/>
    </row>
    <row r="2" spans="1:5">
      <c r="A2" s="1" t="s">
        <v>0</v>
      </c>
      <c r="B2" s="1" t="s">
        <v>1</v>
      </c>
      <c r="C2" s="1" t="s">
        <v>2</v>
      </c>
      <c r="D2" s="1" t="s">
        <v>3</v>
      </c>
      <c r="E2" s="1" t="s">
        <v>306</v>
      </c>
    </row>
    <row r="3" spans="1:5">
      <c r="A3" s="2">
        <v>1</v>
      </c>
      <c r="B3" s="3">
        <v>9823868480</v>
      </c>
      <c r="C3" s="2" t="s">
        <v>4</v>
      </c>
      <c r="D3" s="2" t="s">
        <v>5</v>
      </c>
      <c r="E3" s="13">
        <v>2846</v>
      </c>
    </row>
    <row r="4" spans="1:5">
      <c r="A4" s="2">
        <v>2</v>
      </c>
      <c r="B4" s="3">
        <v>9823868180</v>
      </c>
      <c r="C4" s="2" t="s">
        <v>6</v>
      </c>
      <c r="D4" s="2" t="s">
        <v>7</v>
      </c>
      <c r="E4" s="13">
        <v>1689</v>
      </c>
    </row>
    <row r="5" spans="1:5">
      <c r="A5" s="2">
        <v>3</v>
      </c>
      <c r="B5" s="3" t="s">
        <v>8</v>
      </c>
      <c r="C5" s="2" t="s">
        <v>9</v>
      </c>
      <c r="D5" s="2" t="s">
        <v>10</v>
      </c>
      <c r="E5" s="13">
        <v>1165</v>
      </c>
    </row>
    <row r="6" spans="1:5">
      <c r="A6" s="2">
        <v>4</v>
      </c>
      <c r="B6" s="3">
        <v>9832027580</v>
      </c>
      <c r="C6" s="2" t="s">
        <v>11</v>
      </c>
      <c r="D6" s="2" t="s">
        <v>12</v>
      </c>
      <c r="E6" s="13">
        <v>2838</v>
      </c>
    </row>
    <row r="7" spans="1:5">
      <c r="A7" s="2">
        <v>5</v>
      </c>
      <c r="B7" s="3">
        <v>9832021380</v>
      </c>
      <c r="C7" s="2" t="s">
        <v>13</v>
      </c>
      <c r="D7" s="2" t="s">
        <v>14</v>
      </c>
      <c r="E7" s="13">
        <v>1692</v>
      </c>
    </row>
    <row r="8" spans="1:5">
      <c r="A8" s="2">
        <v>6</v>
      </c>
      <c r="B8" s="3">
        <v>9832021180</v>
      </c>
      <c r="C8" s="2" t="s">
        <v>15</v>
      </c>
      <c r="D8" s="66" t="s">
        <v>16</v>
      </c>
      <c r="E8" s="13">
        <v>1161</v>
      </c>
    </row>
    <row r="9" spans="1:5">
      <c r="A9" s="2">
        <v>7</v>
      </c>
      <c r="B9" s="3">
        <v>9833400580</v>
      </c>
      <c r="C9" s="2" t="s">
        <v>17</v>
      </c>
      <c r="D9" s="2" t="s">
        <v>18</v>
      </c>
      <c r="E9" s="13">
        <v>2849</v>
      </c>
    </row>
    <row r="10" spans="1:5">
      <c r="A10" s="2">
        <v>8</v>
      </c>
      <c r="B10" s="3">
        <v>9833208180</v>
      </c>
      <c r="C10" s="2" t="s">
        <v>19</v>
      </c>
      <c r="D10" s="2" t="s">
        <v>20</v>
      </c>
      <c r="E10" s="13">
        <v>1692</v>
      </c>
    </row>
    <row r="11" spans="1:5">
      <c r="A11" s="2">
        <v>9</v>
      </c>
      <c r="B11" s="3">
        <v>9833208280</v>
      </c>
      <c r="C11" s="2" t="s">
        <v>21</v>
      </c>
      <c r="D11" s="2" t="s">
        <v>22</v>
      </c>
      <c r="E11" s="13">
        <v>1157</v>
      </c>
    </row>
    <row r="12" spans="1:5">
      <c r="A12" s="2">
        <v>10</v>
      </c>
      <c r="B12" s="3">
        <v>9814491980</v>
      </c>
      <c r="C12" s="2" t="s">
        <v>23</v>
      </c>
      <c r="D12" s="2" t="s">
        <v>24</v>
      </c>
      <c r="E12" s="13">
        <v>3077</v>
      </c>
    </row>
    <row r="13" spans="1:5">
      <c r="A13" s="2">
        <v>11</v>
      </c>
      <c r="B13" s="3">
        <v>9814492580</v>
      </c>
      <c r="C13" s="2" t="s">
        <v>25</v>
      </c>
      <c r="D13" s="2" t="s">
        <v>26</v>
      </c>
      <c r="E13" s="13">
        <v>3071</v>
      </c>
    </row>
    <row r="14" spans="1:5">
      <c r="A14" s="2">
        <v>12</v>
      </c>
      <c r="B14" s="3">
        <v>9818614480</v>
      </c>
      <c r="C14" s="2" t="s">
        <v>27</v>
      </c>
      <c r="D14" s="2" t="s">
        <v>28</v>
      </c>
      <c r="E14" s="13">
        <v>8400</v>
      </c>
    </row>
    <row r="15" spans="1:5">
      <c r="A15" s="2">
        <v>13</v>
      </c>
      <c r="B15" s="3">
        <v>9818614580</v>
      </c>
      <c r="C15" s="2" t="s">
        <v>29</v>
      </c>
      <c r="D15" s="2" t="s">
        <v>30</v>
      </c>
      <c r="E15" s="13">
        <v>8410</v>
      </c>
    </row>
    <row r="16" spans="1:5">
      <c r="A16" s="2">
        <v>14</v>
      </c>
      <c r="B16" s="3">
        <v>9811628680</v>
      </c>
      <c r="C16" s="2" t="s">
        <v>31</v>
      </c>
      <c r="D16" s="2" t="s">
        <v>32</v>
      </c>
      <c r="E16" s="13">
        <v>11800</v>
      </c>
    </row>
    <row r="17" spans="1:5">
      <c r="A17" s="2">
        <v>15</v>
      </c>
      <c r="B17" s="3" t="s">
        <v>33</v>
      </c>
      <c r="C17" s="2" t="s">
        <v>34</v>
      </c>
      <c r="D17" s="2" t="s">
        <v>35</v>
      </c>
      <c r="E17" s="13">
        <v>1423</v>
      </c>
    </row>
    <row r="18" spans="1:5">
      <c r="A18" s="2">
        <v>16</v>
      </c>
      <c r="B18" s="3" t="s">
        <v>36</v>
      </c>
      <c r="C18" s="2" t="s">
        <v>37</v>
      </c>
      <c r="D18" s="2" t="s">
        <v>38</v>
      </c>
      <c r="E18" s="13">
        <v>1425</v>
      </c>
    </row>
    <row r="19" spans="1:5">
      <c r="A19" s="2">
        <v>17</v>
      </c>
      <c r="B19" s="3" t="s">
        <v>39</v>
      </c>
      <c r="C19" s="2" t="s">
        <v>40</v>
      </c>
      <c r="D19" s="2" t="s">
        <v>41</v>
      </c>
      <c r="E19" s="13">
        <v>2950</v>
      </c>
    </row>
    <row r="20" spans="1:5">
      <c r="A20" s="2">
        <v>18</v>
      </c>
      <c r="B20" s="3" t="s">
        <v>42</v>
      </c>
      <c r="C20" s="2" t="s">
        <v>43</v>
      </c>
      <c r="D20" s="2" t="s">
        <v>44</v>
      </c>
      <c r="E20" s="13">
        <v>2948</v>
      </c>
    </row>
    <row r="21" spans="1:5">
      <c r="A21" s="4">
        <v>19</v>
      </c>
      <c r="B21" s="16">
        <v>9825038780</v>
      </c>
      <c r="C21" s="4" t="s">
        <v>45</v>
      </c>
      <c r="D21" s="4" t="s">
        <v>46</v>
      </c>
      <c r="E21" s="13">
        <v>2405</v>
      </c>
    </row>
    <row r="22" spans="1:5">
      <c r="A22" s="2">
        <v>33</v>
      </c>
      <c r="B22" s="3">
        <v>9825048280</v>
      </c>
      <c r="C22" s="2" t="s">
        <v>77</v>
      </c>
      <c r="D22" s="2" t="s">
        <v>78</v>
      </c>
      <c r="E22" s="13">
        <v>1745</v>
      </c>
    </row>
    <row r="23" spans="1:5">
      <c r="A23" s="2">
        <v>20</v>
      </c>
      <c r="B23" s="3">
        <v>9825013880</v>
      </c>
      <c r="C23" s="2" t="s">
        <v>47</v>
      </c>
      <c r="D23" s="2" t="s">
        <v>48</v>
      </c>
      <c r="E23" s="13">
        <v>1704</v>
      </c>
    </row>
    <row r="24" spans="1:5">
      <c r="A24" s="2">
        <v>21</v>
      </c>
      <c r="B24" s="3">
        <v>9846498080</v>
      </c>
      <c r="C24" s="2" t="s">
        <v>49</v>
      </c>
      <c r="D24" s="2" t="s">
        <v>50</v>
      </c>
      <c r="E24" s="13">
        <v>1390</v>
      </c>
    </row>
    <row r="25" spans="1:5">
      <c r="A25" s="2">
        <v>22</v>
      </c>
      <c r="B25" s="3">
        <v>9846498180</v>
      </c>
      <c r="C25" s="2" t="s">
        <v>51</v>
      </c>
      <c r="D25" s="2" t="s">
        <v>52</v>
      </c>
      <c r="E25" s="13">
        <v>2348</v>
      </c>
    </row>
    <row r="26" spans="1:5">
      <c r="A26" s="2">
        <v>23</v>
      </c>
      <c r="B26" s="3" t="s">
        <v>53</v>
      </c>
      <c r="C26" s="2" t="s">
        <v>54</v>
      </c>
      <c r="D26" s="2" t="s">
        <v>55</v>
      </c>
      <c r="E26" s="13">
        <v>2440</v>
      </c>
    </row>
    <row r="27" spans="1:5">
      <c r="A27" s="2">
        <v>24</v>
      </c>
      <c r="B27" s="3" t="s">
        <v>56</v>
      </c>
      <c r="C27" s="2" t="s">
        <v>57</v>
      </c>
      <c r="D27" s="2" t="s">
        <v>58</v>
      </c>
      <c r="E27" s="13">
        <v>4837</v>
      </c>
    </row>
    <row r="28" spans="1:5">
      <c r="A28" s="2">
        <v>25</v>
      </c>
      <c r="B28" s="3">
        <v>9824525980</v>
      </c>
      <c r="C28" s="2" t="s">
        <v>59</v>
      </c>
      <c r="D28" s="2" t="s">
        <v>60</v>
      </c>
      <c r="E28" s="13">
        <v>1233</v>
      </c>
    </row>
    <row r="29" spans="1:5">
      <c r="A29" s="2">
        <v>26</v>
      </c>
      <c r="B29" s="3" t="s">
        <v>61</v>
      </c>
      <c r="C29" s="2" t="s">
        <v>62</v>
      </c>
      <c r="D29" s="2" t="s">
        <v>63</v>
      </c>
      <c r="E29" s="13">
        <v>3092</v>
      </c>
    </row>
    <row r="30" spans="1:5">
      <c r="A30" s="2">
        <v>27</v>
      </c>
      <c r="B30" s="3">
        <v>9824468880</v>
      </c>
      <c r="C30" s="2" t="s">
        <v>64</v>
      </c>
      <c r="D30" s="2" t="s">
        <v>65</v>
      </c>
      <c r="E30" s="13">
        <v>3276</v>
      </c>
    </row>
    <row r="31" spans="1:5">
      <c r="A31" s="2">
        <v>28</v>
      </c>
      <c r="B31" s="3">
        <v>9824456680</v>
      </c>
      <c r="C31" s="2" t="s">
        <v>66</v>
      </c>
      <c r="D31" s="2" t="s">
        <v>67</v>
      </c>
      <c r="E31" s="13">
        <v>2868</v>
      </c>
    </row>
    <row r="32" spans="1:5">
      <c r="A32" s="2">
        <v>29</v>
      </c>
      <c r="B32" s="3">
        <v>9836802180</v>
      </c>
      <c r="C32" s="2" t="s">
        <v>68</v>
      </c>
      <c r="D32" s="2" t="s">
        <v>69</v>
      </c>
      <c r="E32" s="13">
        <v>2883</v>
      </c>
    </row>
    <row r="33" spans="1:5">
      <c r="A33" s="2">
        <v>30</v>
      </c>
      <c r="B33" s="3">
        <v>9836802780</v>
      </c>
      <c r="C33" s="2" t="s">
        <v>70</v>
      </c>
      <c r="D33" s="2" t="s">
        <v>71</v>
      </c>
      <c r="E33" s="13">
        <v>2883</v>
      </c>
    </row>
    <row r="34" spans="1:5">
      <c r="A34" s="2">
        <v>31</v>
      </c>
      <c r="B34" s="3" t="s">
        <v>72</v>
      </c>
      <c r="C34" s="2" t="s">
        <v>73</v>
      </c>
      <c r="D34" s="2" t="s">
        <v>74</v>
      </c>
      <c r="E34" s="13">
        <v>1738</v>
      </c>
    </row>
    <row r="35" spans="1:5">
      <c r="A35" s="2">
        <v>32</v>
      </c>
      <c r="B35" s="3">
        <v>9824488680</v>
      </c>
      <c r="C35" s="2" t="s">
        <v>75</v>
      </c>
      <c r="D35" s="2" t="s">
        <v>76</v>
      </c>
      <c r="E35" s="13">
        <v>1745</v>
      </c>
    </row>
    <row r="36" spans="1:5">
      <c r="A36" s="2">
        <v>34</v>
      </c>
      <c r="B36" s="3">
        <v>9835223780</v>
      </c>
      <c r="C36" s="2" t="s">
        <v>79</v>
      </c>
      <c r="D36" s="2" t="s">
        <v>80</v>
      </c>
      <c r="E36" s="13">
        <v>2133</v>
      </c>
    </row>
    <row r="37" spans="1:5">
      <c r="A37" s="2">
        <v>35</v>
      </c>
      <c r="B37" s="3">
        <v>9835223380</v>
      </c>
      <c r="C37" s="2" t="s">
        <v>81</v>
      </c>
      <c r="D37" s="2" t="s">
        <v>82</v>
      </c>
      <c r="E37" s="13">
        <v>2133</v>
      </c>
    </row>
    <row r="38" spans="1:5">
      <c r="A38" s="2">
        <v>36</v>
      </c>
      <c r="B38" s="3" t="s">
        <v>83</v>
      </c>
      <c r="C38" s="2" t="s">
        <v>84</v>
      </c>
      <c r="D38" s="2" t="s">
        <v>85</v>
      </c>
      <c r="E38" s="13">
        <v>4436</v>
      </c>
    </row>
    <row r="39" spans="1:5">
      <c r="A39" s="2">
        <v>37</v>
      </c>
      <c r="B39" s="3" t="s">
        <v>83</v>
      </c>
      <c r="C39" s="2" t="s">
        <v>86</v>
      </c>
      <c r="D39" s="2" t="s">
        <v>87</v>
      </c>
      <c r="E39" s="13">
        <v>1913</v>
      </c>
    </row>
    <row r="40" spans="1:5">
      <c r="A40" s="2">
        <v>38</v>
      </c>
      <c r="B40" s="3" t="s">
        <v>83</v>
      </c>
      <c r="C40" s="2" t="s">
        <v>88</v>
      </c>
      <c r="D40" s="2" t="s">
        <v>89</v>
      </c>
      <c r="E40" s="13">
        <v>1895</v>
      </c>
    </row>
    <row r="41" spans="1:5">
      <c r="A41" s="2">
        <v>39</v>
      </c>
      <c r="B41" s="3">
        <v>9862718380</v>
      </c>
      <c r="C41" s="2" t="s">
        <v>90</v>
      </c>
      <c r="D41" s="2" t="s">
        <v>91</v>
      </c>
      <c r="E41" s="13">
        <v>3408</v>
      </c>
    </row>
    <row r="42" spans="1:5">
      <c r="A42" s="2">
        <v>40</v>
      </c>
      <c r="B42" s="3" t="s">
        <v>92</v>
      </c>
      <c r="C42" s="2" t="s">
        <v>93</v>
      </c>
      <c r="D42" s="2" t="s">
        <v>94</v>
      </c>
      <c r="E42" s="13">
        <v>1699</v>
      </c>
    </row>
    <row r="43" spans="1:5">
      <c r="A43" s="2">
        <v>41</v>
      </c>
      <c r="B43" s="3" t="s">
        <v>95</v>
      </c>
      <c r="C43" s="2" t="s">
        <v>96</v>
      </c>
      <c r="D43" s="2" t="s">
        <v>97</v>
      </c>
      <c r="E43" s="13">
        <v>3360</v>
      </c>
    </row>
    <row r="44" spans="1:5">
      <c r="A44" s="2">
        <v>42</v>
      </c>
      <c r="B44" s="3" t="s">
        <v>98</v>
      </c>
      <c r="C44" s="2" t="s">
        <v>99</v>
      </c>
      <c r="D44" s="2" t="s">
        <v>100</v>
      </c>
      <c r="E44" s="13">
        <v>1768</v>
      </c>
    </row>
    <row r="45" spans="1:5">
      <c r="A45" s="2">
        <v>43</v>
      </c>
      <c r="B45" s="3">
        <v>9862718180</v>
      </c>
      <c r="C45" s="2" t="s">
        <v>101</v>
      </c>
      <c r="D45" s="2" t="s">
        <v>102</v>
      </c>
      <c r="E45" s="13">
        <v>2324</v>
      </c>
    </row>
    <row r="46" spans="1:5">
      <c r="A46" s="2">
        <v>44</v>
      </c>
      <c r="B46" s="3" t="s">
        <v>103</v>
      </c>
      <c r="C46" s="2" t="s">
        <v>104</v>
      </c>
      <c r="D46" s="2" t="s">
        <v>105</v>
      </c>
      <c r="E46" s="13">
        <v>1220</v>
      </c>
    </row>
    <row r="47" spans="1:5">
      <c r="A47" s="2">
        <v>45</v>
      </c>
      <c r="B47" s="3" t="s">
        <v>106</v>
      </c>
      <c r="C47" s="2" t="s">
        <v>107</v>
      </c>
      <c r="D47" s="2" t="s">
        <v>108</v>
      </c>
      <c r="E47" s="13">
        <v>2393</v>
      </c>
    </row>
    <row r="48" spans="1:5">
      <c r="A48" s="2">
        <v>46</v>
      </c>
      <c r="B48" s="3">
        <v>9830741180</v>
      </c>
      <c r="C48" s="2" t="s">
        <v>109</v>
      </c>
      <c r="D48" s="2" t="s">
        <v>110</v>
      </c>
      <c r="E48" s="13">
        <v>1701</v>
      </c>
    </row>
    <row r="49" spans="1:5">
      <c r="A49" s="2">
        <v>47</v>
      </c>
      <c r="B49" s="3">
        <v>9834884080</v>
      </c>
      <c r="C49" s="2" t="s">
        <v>111</v>
      </c>
      <c r="D49" s="2" t="s">
        <v>112</v>
      </c>
      <c r="E49" s="13">
        <v>1699</v>
      </c>
    </row>
    <row r="50" spans="1:5">
      <c r="A50" s="2">
        <v>48</v>
      </c>
      <c r="B50" s="3">
        <v>9834520980</v>
      </c>
      <c r="C50" s="2" t="s">
        <v>113</v>
      </c>
      <c r="D50" s="2" t="s">
        <v>114</v>
      </c>
      <c r="E50" s="13">
        <v>1545</v>
      </c>
    </row>
    <row r="51" spans="1:5">
      <c r="A51" s="2">
        <v>49</v>
      </c>
      <c r="B51" s="3">
        <v>9834455580</v>
      </c>
      <c r="C51" s="2" t="s">
        <v>115</v>
      </c>
      <c r="D51" s="2" t="s">
        <v>116</v>
      </c>
      <c r="E51" s="13">
        <v>1544</v>
      </c>
    </row>
    <row r="52" spans="1:5">
      <c r="A52" s="2">
        <v>50</v>
      </c>
      <c r="B52" s="3">
        <v>9834591080</v>
      </c>
      <c r="C52" s="2" t="s">
        <v>117</v>
      </c>
      <c r="D52" s="2" t="s">
        <v>118</v>
      </c>
      <c r="E52" s="13">
        <v>3450</v>
      </c>
    </row>
    <row r="53" spans="1:5">
      <c r="A53" s="2">
        <v>51</v>
      </c>
      <c r="B53" s="3">
        <v>9862963780</v>
      </c>
      <c r="C53" s="2" t="s">
        <v>119</v>
      </c>
      <c r="D53" s="2" t="s">
        <v>120</v>
      </c>
      <c r="E53" s="13">
        <v>3476</v>
      </c>
    </row>
    <row r="54" spans="1:5">
      <c r="A54" s="2">
        <v>52</v>
      </c>
      <c r="B54" s="3">
        <v>9827887480</v>
      </c>
      <c r="C54" s="2" t="s">
        <v>121</v>
      </c>
      <c r="D54" s="2" t="s">
        <v>122</v>
      </c>
      <c r="E54" s="13">
        <v>3824</v>
      </c>
    </row>
    <row r="55" spans="1:5">
      <c r="A55" s="2">
        <v>53</v>
      </c>
      <c r="B55" s="3">
        <v>9824535280</v>
      </c>
      <c r="C55" s="2" t="s">
        <v>123</v>
      </c>
      <c r="D55" s="2" t="s">
        <v>124</v>
      </c>
      <c r="E55" s="13">
        <v>3460</v>
      </c>
    </row>
    <row r="56" spans="1:5">
      <c r="A56" s="2">
        <v>54</v>
      </c>
      <c r="B56" s="3">
        <v>9811629480</v>
      </c>
      <c r="C56" s="2" t="s">
        <v>125</v>
      </c>
      <c r="D56" s="2" t="s">
        <v>126</v>
      </c>
      <c r="E56" s="13">
        <v>1519</v>
      </c>
    </row>
    <row r="57" spans="1:5">
      <c r="A57" s="2">
        <v>55</v>
      </c>
      <c r="B57" s="3">
        <v>9811631780</v>
      </c>
      <c r="C57" s="2" t="s">
        <v>127</v>
      </c>
      <c r="D57" s="2" t="s">
        <v>128</v>
      </c>
      <c r="E57" s="13">
        <v>1742</v>
      </c>
    </row>
    <row r="58" spans="1:5">
      <c r="A58" s="2">
        <v>56</v>
      </c>
      <c r="B58" s="3">
        <v>9810486880</v>
      </c>
      <c r="C58" s="2" t="s">
        <v>129</v>
      </c>
      <c r="D58" s="2" t="s">
        <v>130</v>
      </c>
      <c r="E58" s="13">
        <v>2570</v>
      </c>
    </row>
    <row r="59" spans="1:5">
      <c r="A59" s="2">
        <v>57</v>
      </c>
      <c r="B59" s="3">
        <v>9826765980</v>
      </c>
      <c r="C59" s="2" t="s">
        <v>131</v>
      </c>
      <c r="D59" s="2" t="s">
        <v>132</v>
      </c>
      <c r="E59" s="13">
        <v>1680</v>
      </c>
    </row>
    <row r="60" spans="1:5">
      <c r="A60" s="2">
        <v>58</v>
      </c>
      <c r="B60" s="3">
        <v>9826848880</v>
      </c>
      <c r="C60" s="2" t="s">
        <v>133</v>
      </c>
      <c r="D60" s="2" t="s">
        <v>134</v>
      </c>
      <c r="E60" s="13">
        <v>3052</v>
      </c>
    </row>
    <row r="61" spans="1:5">
      <c r="A61" s="2">
        <v>59</v>
      </c>
      <c r="B61" s="3">
        <v>9826848780</v>
      </c>
      <c r="C61" s="2" t="s">
        <v>135</v>
      </c>
      <c r="D61" s="2" t="s">
        <v>136</v>
      </c>
      <c r="E61" s="13">
        <v>3064</v>
      </c>
    </row>
    <row r="62" spans="1:5">
      <c r="A62" s="2">
        <v>60</v>
      </c>
      <c r="B62" s="3">
        <v>9825066580</v>
      </c>
      <c r="C62" s="2" t="s">
        <v>137</v>
      </c>
      <c r="D62" s="2" t="s">
        <v>138</v>
      </c>
      <c r="E62" s="13">
        <v>1864</v>
      </c>
    </row>
    <row r="63" spans="1:5">
      <c r="A63" s="2">
        <v>61</v>
      </c>
      <c r="B63" s="3">
        <v>9825066780</v>
      </c>
      <c r="C63" s="2" t="s">
        <v>139</v>
      </c>
      <c r="D63" s="2" t="s">
        <v>140</v>
      </c>
      <c r="E63" s="13">
        <v>1867</v>
      </c>
    </row>
    <row r="64" spans="1:5">
      <c r="A64" s="2">
        <v>62</v>
      </c>
      <c r="B64" s="3">
        <v>9836260580</v>
      </c>
      <c r="C64" s="2" t="s">
        <v>141</v>
      </c>
      <c r="D64" s="2" t="s">
        <v>142</v>
      </c>
      <c r="E64" s="13">
        <v>3465</v>
      </c>
    </row>
    <row r="65" spans="1:5">
      <c r="A65" s="2">
        <v>63</v>
      </c>
      <c r="B65" s="3">
        <v>9811655180</v>
      </c>
      <c r="C65" s="2" t="s">
        <v>143</v>
      </c>
      <c r="D65" s="2" t="s">
        <v>144</v>
      </c>
      <c r="E65" s="13">
        <v>25268</v>
      </c>
    </row>
    <row r="66" spans="1:5">
      <c r="A66" s="2">
        <v>64</v>
      </c>
      <c r="B66" s="3" t="s">
        <v>145</v>
      </c>
      <c r="C66" s="2" t="s">
        <v>146</v>
      </c>
      <c r="D66" s="2" t="s">
        <v>147</v>
      </c>
      <c r="E66" s="13">
        <v>4595</v>
      </c>
    </row>
    <row r="67" spans="1:5" ht="28.8">
      <c r="A67" s="2">
        <v>65</v>
      </c>
      <c r="B67" s="3">
        <v>9655645180</v>
      </c>
      <c r="C67" s="2" t="s">
        <v>148</v>
      </c>
      <c r="D67" s="5" t="s">
        <v>149</v>
      </c>
      <c r="E67" s="13">
        <v>5722</v>
      </c>
    </row>
    <row r="68" spans="1:5">
      <c r="A68" s="2">
        <v>66</v>
      </c>
      <c r="B68" s="3" t="s">
        <v>150</v>
      </c>
      <c r="C68" s="2" t="s">
        <v>151</v>
      </c>
      <c r="D68" s="2" t="s">
        <v>152</v>
      </c>
      <c r="E68" s="13">
        <v>10762</v>
      </c>
    </row>
    <row r="69" spans="1:5">
      <c r="A69" s="2">
        <v>67</v>
      </c>
      <c r="B69" s="3" t="s">
        <v>153</v>
      </c>
      <c r="C69" s="2" t="s">
        <v>154</v>
      </c>
      <c r="D69" s="2" t="s">
        <v>155</v>
      </c>
      <c r="E69" s="13">
        <v>13544</v>
      </c>
    </row>
    <row r="70" spans="1:5">
      <c r="A70" s="2">
        <v>68</v>
      </c>
      <c r="B70" s="3" t="s">
        <v>156</v>
      </c>
      <c r="C70" s="2" t="s">
        <v>157</v>
      </c>
      <c r="D70" s="2" t="s">
        <v>158</v>
      </c>
      <c r="E70" s="13">
        <v>5732</v>
      </c>
    </row>
    <row r="71" spans="1:5">
      <c r="A71" s="2">
        <v>69</v>
      </c>
      <c r="B71" s="3" t="s">
        <v>83</v>
      </c>
      <c r="C71" s="2" t="s">
        <v>159</v>
      </c>
      <c r="D71" s="2" t="s">
        <v>160</v>
      </c>
      <c r="E71" s="13">
        <v>317722</v>
      </c>
    </row>
    <row r="72" spans="1:5">
      <c r="A72" s="2">
        <v>70</v>
      </c>
      <c r="B72" s="3" t="s">
        <v>83</v>
      </c>
      <c r="C72" s="2" t="s">
        <v>161</v>
      </c>
      <c r="D72" s="2" t="s">
        <v>162</v>
      </c>
      <c r="E72" s="13">
        <v>3148</v>
      </c>
    </row>
    <row r="73" spans="1:5">
      <c r="A73" s="2">
        <v>71</v>
      </c>
      <c r="B73" s="3">
        <v>7903233064</v>
      </c>
      <c r="C73" s="2" t="s">
        <v>163</v>
      </c>
      <c r="D73" s="2" t="s">
        <v>164</v>
      </c>
      <c r="E73" s="13">
        <v>3379</v>
      </c>
    </row>
    <row r="74" spans="1:5">
      <c r="A74" s="2">
        <v>72</v>
      </c>
      <c r="B74" s="3" t="s">
        <v>165</v>
      </c>
      <c r="C74" s="2" t="s">
        <v>166</v>
      </c>
      <c r="D74" s="2" t="s">
        <v>167</v>
      </c>
      <c r="E74" s="13">
        <v>11456</v>
      </c>
    </row>
    <row r="75" spans="1:5">
      <c r="A75" s="2">
        <v>73</v>
      </c>
      <c r="B75" s="3">
        <v>9815584280</v>
      </c>
      <c r="C75" s="2" t="s">
        <v>168</v>
      </c>
      <c r="D75" s="2" t="s">
        <v>169</v>
      </c>
      <c r="E75" s="13">
        <v>24660</v>
      </c>
    </row>
    <row r="76" spans="1:5">
      <c r="A76" s="2">
        <v>74</v>
      </c>
      <c r="B76" s="3" t="s">
        <v>83</v>
      </c>
      <c r="C76" s="2" t="s">
        <v>170</v>
      </c>
      <c r="D76" s="2" t="s">
        <v>171</v>
      </c>
      <c r="E76" s="13">
        <v>11856</v>
      </c>
    </row>
    <row r="77" spans="1:5">
      <c r="A77" s="2">
        <v>75</v>
      </c>
      <c r="B77" s="3" t="s">
        <v>83</v>
      </c>
      <c r="C77" s="2" t="s">
        <v>172</v>
      </c>
      <c r="D77" s="2" t="s">
        <v>173</v>
      </c>
      <c r="E77" s="13">
        <v>3973</v>
      </c>
    </row>
    <row r="78" spans="1:5">
      <c r="A78" s="2">
        <v>76</v>
      </c>
      <c r="B78" s="3" t="s">
        <v>83</v>
      </c>
      <c r="C78" s="2" t="s">
        <v>174</v>
      </c>
      <c r="D78" s="2" t="s">
        <v>175</v>
      </c>
      <c r="E78" s="13">
        <v>3696</v>
      </c>
    </row>
    <row r="79" spans="1:5">
      <c r="A79" s="2">
        <v>77</v>
      </c>
      <c r="B79" s="3">
        <v>9833988080</v>
      </c>
      <c r="C79" s="2" t="s">
        <v>176</v>
      </c>
      <c r="D79" s="2" t="s">
        <v>177</v>
      </c>
      <c r="E79" s="13">
        <v>12665</v>
      </c>
    </row>
    <row r="80" spans="1:5">
      <c r="A80" s="2">
        <v>78</v>
      </c>
      <c r="B80" s="3">
        <v>9834251280</v>
      </c>
      <c r="C80" s="2" t="s">
        <v>178</v>
      </c>
      <c r="D80" s="2" t="s">
        <v>179</v>
      </c>
      <c r="E80" s="13">
        <v>9887</v>
      </c>
    </row>
    <row r="81" spans="1:5">
      <c r="A81" s="2">
        <v>79</v>
      </c>
      <c r="B81" s="3">
        <v>9834251480</v>
      </c>
      <c r="C81" s="2" t="s">
        <v>180</v>
      </c>
      <c r="D81" s="2" t="s">
        <v>181</v>
      </c>
      <c r="E81" s="13">
        <v>9887</v>
      </c>
    </row>
    <row r="82" spans="1:5">
      <c r="A82" s="2">
        <v>80</v>
      </c>
      <c r="B82" s="3">
        <v>9834863880</v>
      </c>
      <c r="C82" s="2" t="s">
        <v>182</v>
      </c>
      <c r="D82" s="2" t="s">
        <v>183</v>
      </c>
      <c r="E82" s="13">
        <v>9887</v>
      </c>
    </row>
    <row r="83" spans="1:5">
      <c r="A83" s="2">
        <v>81</v>
      </c>
      <c r="B83" s="3">
        <v>9813529380</v>
      </c>
      <c r="C83" s="2" t="s">
        <v>184</v>
      </c>
      <c r="D83" s="67" t="s">
        <v>387</v>
      </c>
      <c r="E83" s="13">
        <v>6038</v>
      </c>
    </row>
    <row r="84" spans="1:5">
      <c r="A84" s="2">
        <v>83</v>
      </c>
      <c r="B84" s="3">
        <v>9854562380</v>
      </c>
      <c r="C84" s="2" t="s">
        <v>185</v>
      </c>
      <c r="D84" s="2" t="s">
        <v>186</v>
      </c>
      <c r="E84" s="13">
        <v>3360</v>
      </c>
    </row>
    <row r="85" spans="1:5">
      <c r="A85" s="2">
        <v>84</v>
      </c>
      <c r="B85" s="3">
        <v>9854562680</v>
      </c>
      <c r="C85" s="2" t="s">
        <v>187</v>
      </c>
      <c r="D85" s="2" t="s">
        <v>188</v>
      </c>
      <c r="E85" s="13">
        <v>3351</v>
      </c>
    </row>
    <row r="86" spans="1:5">
      <c r="A86" s="2">
        <v>85</v>
      </c>
      <c r="B86" s="3">
        <v>9837729480</v>
      </c>
      <c r="C86" s="2" t="s">
        <v>189</v>
      </c>
      <c r="D86" s="2" t="s">
        <v>190</v>
      </c>
      <c r="E86" s="13">
        <v>2717</v>
      </c>
    </row>
    <row r="87" spans="1:5">
      <c r="A87" s="2">
        <v>86</v>
      </c>
      <c r="B87" s="3" t="s">
        <v>83</v>
      </c>
      <c r="C87" s="6" t="s">
        <v>295</v>
      </c>
      <c r="D87" s="2" t="s">
        <v>296</v>
      </c>
      <c r="E87" s="13">
        <v>7698</v>
      </c>
    </row>
    <row r="88" spans="1:5">
      <c r="A88" s="2">
        <v>87</v>
      </c>
      <c r="B88" s="3" t="s">
        <v>83</v>
      </c>
      <c r="C88" s="6" t="s">
        <v>297</v>
      </c>
      <c r="D88" s="2" t="s">
        <v>300</v>
      </c>
      <c r="E88" s="13">
        <v>2849</v>
      </c>
    </row>
    <row r="89" spans="1:5">
      <c r="A89" s="2">
        <v>88</v>
      </c>
      <c r="B89" s="3" t="s">
        <v>83</v>
      </c>
      <c r="C89" s="6">
        <v>4370075</v>
      </c>
      <c r="D89" s="2" t="s">
        <v>301</v>
      </c>
      <c r="E89" s="13">
        <v>2779</v>
      </c>
    </row>
    <row r="90" spans="1:5" ht="28.8">
      <c r="A90" s="11">
        <v>89</v>
      </c>
      <c r="B90" s="19" t="s">
        <v>191</v>
      </c>
      <c r="C90" s="11" t="s">
        <v>192</v>
      </c>
      <c r="D90" s="20" t="s">
        <v>193</v>
      </c>
      <c r="E90" s="13"/>
    </row>
    <row r="91" spans="1:5">
      <c r="A91" s="11">
        <v>90</v>
      </c>
      <c r="B91" s="19" t="s">
        <v>194</v>
      </c>
      <c r="C91" s="21" t="s">
        <v>195</v>
      </c>
      <c r="D91" s="11" t="s">
        <v>196</v>
      </c>
      <c r="E91" s="13"/>
    </row>
    <row r="92" spans="1:5">
      <c r="A92" s="11">
        <v>91</v>
      </c>
      <c r="B92" s="19" t="s">
        <v>197</v>
      </c>
      <c r="C92" s="21" t="s">
        <v>198</v>
      </c>
      <c r="D92" s="11" t="s">
        <v>199</v>
      </c>
      <c r="E92" s="13"/>
    </row>
    <row r="93" spans="1:5">
      <c r="A93" s="11">
        <v>92</v>
      </c>
      <c r="B93" s="19" t="s">
        <v>200</v>
      </c>
      <c r="C93" s="21" t="s">
        <v>201</v>
      </c>
      <c r="D93" s="11" t="s">
        <v>202</v>
      </c>
      <c r="E93" s="13"/>
    </row>
    <row r="94" spans="1:5">
      <c r="A94" s="11">
        <v>93</v>
      </c>
      <c r="B94" s="19" t="s">
        <v>83</v>
      </c>
      <c r="C94" s="8" t="s">
        <v>339</v>
      </c>
      <c r="D94" s="8" t="s">
        <v>203</v>
      </c>
      <c r="E94" s="13"/>
    </row>
    <row r="95" spans="1:5">
      <c r="A95" s="11">
        <v>94</v>
      </c>
      <c r="B95" s="19" t="s">
        <v>83</v>
      </c>
      <c r="C95" s="8" t="s">
        <v>340</v>
      </c>
      <c r="D95" s="8" t="s">
        <v>204</v>
      </c>
      <c r="E95" s="13"/>
    </row>
    <row r="96" spans="1:5">
      <c r="A96" s="11">
        <v>95</v>
      </c>
      <c r="B96" s="19" t="s">
        <v>83</v>
      </c>
      <c r="C96" s="8" t="s">
        <v>341</v>
      </c>
      <c r="D96" s="8" t="s">
        <v>205</v>
      </c>
      <c r="E96" s="13"/>
    </row>
    <row r="97" spans="1:5">
      <c r="A97" s="11">
        <v>96</v>
      </c>
      <c r="B97" s="19" t="s">
        <v>83</v>
      </c>
      <c r="C97" s="8" t="s">
        <v>342</v>
      </c>
      <c r="D97" s="8" t="s">
        <v>206</v>
      </c>
      <c r="E97" s="13"/>
    </row>
    <row r="98" spans="1:5">
      <c r="A98" s="11">
        <v>97</v>
      </c>
      <c r="B98" s="19" t="s">
        <v>83</v>
      </c>
      <c r="C98" s="8" t="s">
        <v>343</v>
      </c>
      <c r="D98" s="8" t="s">
        <v>207</v>
      </c>
      <c r="E98" s="13"/>
    </row>
    <row r="99" spans="1:5">
      <c r="A99" s="11">
        <v>98</v>
      </c>
      <c r="B99" s="19" t="s">
        <v>83</v>
      </c>
      <c r="C99" s="8" t="s">
        <v>344</v>
      </c>
      <c r="D99" s="8" t="s">
        <v>208</v>
      </c>
      <c r="E99" s="13"/>
    </row>
    <row r="100" spans="1:5">
      <c r="A100" s="11">
        <v>99</v>
      </c>
      <c r="B100" s="19" t="s">
        <v>83</v>
      </c>
      <c r="C100" s="8" t="s">
        <v>345</v>
      </c>
      <c r="D100" s="8" t="s">
        <v>209</v>
      </c>
      <c r="E100" s="13"/>
    </row>
    <row r="101" spans="1:5">
      <c r="A101" s="11">
        <v>100</v>
      </c>
      <c r="B101" s="19" t="s">
        <v>83</v>
      </c>
      <c r="C101" s="8" t="s">
        <v>346</v>
      </c>
      <c r="D101" s="8" t="s">
        <v>210</v>
      </c>
      <c r="E101" s="13"/>
    </row>
    <row r="102" spans="1:5">
      <c r="A102" s="11">
        <v>101</v>
      </c>
      <c r="B102" s="19" t="s">
        <v>83</v>
      </c>
      <c r="C102" s="8" t="s">
        <v>347</v>
      </c>
      <c r="D102" s="8" t="s">
        <v>211</v>
      </c>
      <c r="E102" s="13"/>
    </row>
    <row r="103" spans="1:5">
      <c r="A103" s="11">
        <v>102</v>
      </c>
      <c r="B103" s="19" t="s">
        <v>83</v>
      </c>
      <c r="C103" s="8" t="s">
        <v>348</v>
      </c>
      <c r="D103" s="8" t="s">
        <v>212</v>
      </c>
      <c r="E103" s="13"/>
    </row>
    <row r="104" spans="1:5">
      <c r="A104" s="11">
        <v>103</v>
      </c>
      <c r="B104" s="19" t="s">
        <v>83</v>
      </c>
      <c r="C104" s="8" t="s">
        <v>213</v>
      </c>
      <c r="D104" s="10" t="s">
        <v>214</v>
      </c>
      <c r="E104" s="13"/>
    </row>
    <row r="105" spans="1:5">
      <c r="A105" s="11">
        <v>104</v>
      </c>
      <c r="B105" s="19" t="s">
        <v>83</v>
      </c>
      <c r="C105" s="9" t="s">
        <v>215</v>
      </c>
      <c r="D105" s="10" t="s">
        <v>216</v>
      </c>
      <c r="E105" s="13"/>
    </row>
    <row r="106" spans="1:5">
      <c r="A106" s="11">
        <v>105</v>
      </c>
      <c r="B106" s="19" t="s">
        <v>83</v>
      </c>
      <c r="C106" s="9" t="s">
        <v>217</v>
      </c>
      <c r="D106" s="10" t="s">
        <v>218</v>
      </c>
      <c r="E106" s="13"/>
    </row>
    <row r="107" spans="1:5">
      <c r="A107" s="11">
        <v>106</v>
      </c>
      <c r="B107" s="19" t="s">
        <v>83</v>
      </c>
      <c r="C107" s="9" t="s">
        <v>219</v>
      </c>
      <c r="D107" s="10" t="s">
        <v>220</v>
      </c>
      <c r="E107" s="13"/>
    </row>
    <row r="108" spans="1:5">
      <c r="A108" s="11">
        <v>107</v>
      </c>
      <c r="B108" s="19" t="s">
        <v>83</v>
      </c>
      <c r="C108" s="9" t="s">
        <v>221</v>
      </c>
      <c r="D108" s="10" t="s">
        <v>222</v>
      </c>
      <c r="E108" s="13"/>
    </row>
    <row r="109" spans="1:5">
      <c r="A109" s="11">
        <v>108</v>
      </c>
      <c r="B109" s="19" t="s">
        <v>83</v>
      </c>
      <c r="C109" s="9" t="s">
        <v>223</v>
      </c>
      <c r="D109" s="10" t="s">
        <v>224</v>
      </c>
      <c r="E109" s="13"/>
    </row>
    <row r="110" spans="1:5">
      <c r="A110" s="11">
        <v>109</v>
      </c>
      <c r="B110" s="19" t="s">
        <v>83</v>
      </c>
      <c r="C110" s="9" t="s">
        <v>225</v>
      </c>
      <c r="D110" s="10" t="s">
        <v>226</v>
      </c>
      <c r="E110" s="13"/>
    </row>
    <row r="111" spans="1:5">
      <c r="A111" s="11">
        <v>110</v>
      </c>
      <c r="B111" s="19" t="s">
        <v>83</v>
      </c>
      <c r="C111" s="9" t="s">
        <v>227</v>
      </c>
      <c r="D111" s="10" t="s">
        <v>228</v>
      </c>
      <c r="E111" s="13"/>
    </row>
    <row r="112" spans="1:5">
      <c r="A112" s="11">
        <v>111</v>
      </c>
      <c r="B112" s="19" t="s">
        <v>83</v>
      </c>
      <c r="C112" s="9" t="s">
        <v>229</v>
      </c>
      <c r="D112" s="10" t="s">
        <v>230</v>
      </c>
      <c r="E112" s="13"/>
    </row>
    <row r="113" spans="1:5">
      <c r="A113" s="11">
        <v>112</v>
      </c>
      <c r="B113" s="19" t="s">
        <v>83</v>
      </c>
      <c r="C113" s="9" t="s">
        <v>231</v>
      </c>
      <c r="D113" s="10" t="s">
        <v>232</v>
      </c>
      <c r="E113" s="13"/>
    </row>
    <row r="114" spans="1:5">
      <c r="A114" s="11">
        <v>113</v>
      </c>
      <c r="B114" s="19" t="s">
        <v>83</v>
      </c>
      <c r="C114" s="9" t="s">
        <v>233</v>
      </c>
      <c r="D114" s="10" t="s">
        <v>234</v>
      </c>
      <c r="E114" s="13"/>
    </row>
    <row r="115" spans="1:5">
      <c r="A115" s="11">
        <v>114</v>
      </c>
      <c r="B115" s="19" t="s">
        <v>83</v>
      </c>
      <c r="C115" s="9" t="s">
        <v>235</v>
      </c>
      <c r="D115" s="10" t="s">
        <v>236</v>
      </c>
      <c r="E115" s="13"/>
    </row>
    <row r="116" spans="1:5">
      <c r="A116" s="11">
        <v>115</v>
      </c>
      <c r="B116" s="19" t="s">
        <v>83</v>
      </c>
      <c r="C116" s="9" t="s">
        <v>237</v>
      </c>
      <c r="D116" s="10" t="s">
        <v>238</v>
      </c>
      <c r="E116" s="13"/>
    </row>
    <row r="117" spans="1:5">
      <c r="A117" s="11">
        <v>116</v>
      </c>
      <c r="B117" s="19" t="s">
        <v>83</v>
      </c>
      <c r="C117" s="9" t="s">
        <v>239</v>
      </c>
      <c r="D117" s="10" t="s">
        <v>228</v>
      </c>
      <c r="E117" s="13"/>
    </row>
    <row r="118" spans="1:5">
      <c r="A118" s="11">
        <v>117</v>
      </c>
      <c r="B118" s="19" t="s">
        <v>83</v>
      </c>
      <c r="C118" s="9" t="s">
        <v>240</v>
      </c>
      <c r="D118" s="10" t="s">
        <v>228</v>
      </c>
      <c r="E118" s="13"/>
    </row>
    <row r="119" spans="1:5">
      <c r="A119" s="11">
        <v>118</v>
      </c>
      <c r="B119" s="19" t="s">
        <v>83</v>
      </c>
      <c r="C119" s="9" t="s">
        <v>241</v>
      </c>
      <c r="D119" s="10" t="s">
        <v>242</v>
      </c>
      <c r="E119" s="13"/>
    </row>
    <row r="120" spans="1:5">
      <c r="A120" s="11">
        <v>119</v>
      </c>
      <c r="B120" s="19" t="s">
        <v>83</v>
      </c>
      <c r="C120" s="9" t="s">
        <v>243</v>
      </c>
      <c r="D120" s="10" t="s">
        <v>244</v>
      </c>
      <c r="E120" s="13"/>
    </row>
    <row r="121" spans="1:5">
      <c r="A121" s="11">
        <v>120</v>
      </c>
      <c r="B121" s="19" t="s">
        <v>83</v>
      </c>
      <c r="C121" s="9" t="s">
        <v>245</v>
      </c>
      <c r="D121" s="10" t="s">
        <v>246</v>
      </c>
      <c r="E121" s="13"/>
    </row>
    <row r="122" spans="1:5">
      <c r="A122" s="11">
        <v>121</v>
      </c>
      <c r="B122" s="19" t="s">
        <v>83</v>
      </c>
      <c r="C122" s="9" t="s">
        <v>247</v>
      </c>
      <c r="D122" s="10" t="s">
        <v>248</v>
      </c>
      <c r="E122" s="13"/>
    </row>
    <row r="123" spans="1:5">
      <c r="A123" s="11">
        <v>122</v>
      </c>
      <c r="B123" s="19" t="s">
        <v>83</v>
      </c>
      <c r="C123" s="9" t="s">
        <v>249</v>
      </c>
      <c r="D123" s="10" t="s">
        <v>244</v>
      </c>
      <c r="E123" s="13"/>
    </row>
    <row r="124" spans="1:5">
      <c r="A124" s="11">
        <v>123</v>
      </c>
      <c r="B124" s="19" t="s">
        <v>83</v>
      </c>
      <c r="C124" s="9" t="s">
        <v>250</v>
      </c>
      <c r="D124" s="10" t="s">
        <v>251</v>
      </c>
      <c r="E124" s="13"/>
    </row>
    <row r="125" spans="1:5">
      <c r="A125" s="11">
        <v>124</v>
      </c>
      <c r="B125" s="19" t="s">
        <v>83</v>
      </c>
      <c r="C125" s="9" t="s">
        <v>252</v>
      </c>
      <c r="D125" s="10" t="s">
        <v>253</v>
      </c>
      <c r="E125" s="13"/>
    </row>
    <row r="126" spans="1:5">
      <c r="A126" s="11">
        <v>125</v>
      </c>
      <c r="B126" s="19" t="s">
        <v>83</v>
      </c>
      <c r="C126" s="9" t="s">
        <v>254</v>
      </c>
      <c r="D126" s="10" t="s">
        <v>255</v>
      </c>
      <c r="E126" s="13"/>
    </row>
    <row r="127" spans="1:5">
      <c r="A127" s="11">
        <v>126</v>
      </c>
      <c r="B127" s="19" t="s">
        <v>83</v>
      </c>
      <c r="C127" s="9" t="s">
        <v>256</v>
      </c>
      <c r="D127" s="10" t="s">
        <v>257</v>
      </c>
      <c r="E127" s="13"/>
    </row>
    <row r="128" spans="1:5">
      <c r="A128" s="11">
        <v>127</v>
      </c>
      <c r="B128" s="19" t="s">
        <v>83</v>
      </c>
      <c r="C128" s="9" t="s">
        <v>258</v>
      </c>
      <c r="D128" s="10" t="s">
        <v>259</v>
      </c>
      <c r="E128" s="13"/>
    </row>
    <row r="129" spans="1:5">
      <c r="A129" s="11">
        <v>128</v>
      </c>
      <c r="B129" s="19" t="s">
        <v>83</v>
      </c>
      <c r="C129" s="9" t="s">
        <v>260</v>
      </c>
      <c r="D129" s="10" t="s">
        <v>261</v>
      </c>
      <c r="E129" s="13"/>
    </row>
    <row r="130" spans="1:5">
      <c r="A130" s="11">
        <v>129</v>
      </c>
      <c r="B130" s="19" t="s">
        <v>83</v>
      </c>
      <c r="C130" s="9" t="s">
        <v>262</v>
      </c>
      <c r="D130" s="10" t="s">
        <v>244</v>
      </c>
      <c r="E130" s="13"/>
    </row>
    <row r="131" spans="1:5">
      <c r="A131" s="11">
        <v>130</v>
      </c>
      <c r="B131" s="19" t="s">
        <v>83</v>
      </c>
      <c r="C131" s="9" t="s">
        <v>263</v>
      </c>
      <c r="D131" s="10" t="s">
        <v>264</v>
      </c>
      <c r="E131" s="13"/>
    </row>
    <row r="132" spans="1:5">
      <c r="A132" s="11">
        <v>131</v>
      </c>
      <c r="B132" s="19" t="s">
        <v>83</v>
      </c>
      <c r="C132" s="9" t="s">
        <v>265</v>
      </c>
      <c r="D132" s="10" t="s">
        <v>266</v>
      </c>
      <c r="E132" s="13"/>
    </row>
    <row r="133" spans="1:5">
      <c r="A133" s="11">
        <v>132</v>
      </c>
      <c r="B133" s="19" t="s">
        <v>83</v>
      </c>
      <c r="C133" s="9" t="s">
        <v>267</v>
      </c>
      <c r="D133" s="10" t="s">
        <v>228</v>
      </c>
      <c r="E133" s="13"/>
    </row>
    <row r="134" spans="1:5">
      <c r="A134" s="11">
        <v>133</v>
      </c>
      <c r="B134" s="19" t="s">
        <v>83</v>
      </c>
      <c r="C134" s="9" t="s">
        <v>268</v>
      </c>
      <c r="D134" s="10" t="s">
        <v>228</v>
      </c>
      <c r="E134" s="13"/>
    </row>
    <row r="135" spans="1:5">
      <c r="A135" s="11">
        <v>134</v>
      </c>
      <c r="B135" s="19" t="s">
        <v>83</v>
      </c>
      <c r="C135" s="9" t="s">
        <v>269</v>
      </c>
      <c r="D135" s="10" t="s">
        <v>270</v>
      </c>
      <c r="E135" s="13"/>
    </row>
    <row r="136" spans="1:5">
      <c r="A136" s="11">
        <v>135</v>
      </c>
      <c r="B136" s="19" t="s">
        <v>83</v>
      </c>
      <c r="C136" s="9" t="s">
        <v>271</v>
      </c>
      <c r="D136" s="10" t="s">
        <v>272</v>
      </c>
      <c r="E136" s="13"/>
    </row>
    <row r="137" spans="1:5">
      <c r="A137" s="11">
        <v>136</v>
      </c>
      <c r="B137" s="19" t="s">
        <v>83</v>
      </c>
      <c r="C137" s="9" t="s">
        <v>273</v>
      </c>
      <c r="D137" s="10" t="s">
        <v>274</v>
      </c>
      <c r="E137" s="13"/>
    </row>
    <row r="138" spans="1:5">
      <c r="A138" s="11">
        <v>137</v>
      </c>
      <c r="B138" s="19" t="s">
        <v>83</v>
      </c>
      <c r="C138" s="9" t="s">
        <v>275</v>
      </c>
      <c r="D138" s="10" t="s">
        <v>276</v>
      </c>
      <c r="E138" s="13"/>
    </row>
    <row r="139" spans="1:5">
      <c r="A139" s="11">
        <v>138</v>
      </c>
      <c r="B139" s="19" t="s">
        <v>83</v>
      </c>
      <c r="C139" s="9" t="s">
        <v>277</v>
      </c>
      <c r="D139" s="10" t="s">
        <v>278</v>
      </c>
      <c r="E139" s="13"/>
    </row>
    <row r="140" spans="1:5">
      <c r="A140" s="11">
        <v>139</v>
      </c>
      <c r="B140" s="19" t="s">
        <v>83</v>
      </c>
      <c r="C140" s="9" t="s">
        <v>279</v>
      </c>
      <c r="D140" s="10" t="s">
        <v>280</v>
      </c>
      <c r="E140" s="13"/>
    </row>
    <row r="141" spans="1:5">
      <c r="A141" s="11">
        <v>140</v>
      </c>
      <c r="B141" s="19" t="s">
        <v>83</v>
      </c>
      <c r="C141" s="9" t="s">
        <v>281</v>
      </c>
      <c r="D141" s="10" t="s">
        <v>282</v>
      </c>
      <c r="E141" s="13"/>
    </row>
    <row r="142" spans="1:5">
      <c r="A142" s="11">
        <v>141</v>
      </c>
      <c r="B142" s="19" t="s">
        <v>83</v>
      </c>
      <c r="C142" s="9" t="s">
        <v>283</v>
      </c>
      <c r="D142" s="10" t="s">
        <v>284</v>
      </c>
      <c r="E142" s="13"/>
    </row>
    <row r="143" spans="1:5">
      <c r="A143" s="11">
        <v>142</v>
      </c>
      <c r="B143" s="19" t="s">
        <v>83</v>
      </c>
      <c r="C143" s="9" t="s">
        <v>285</v>
      </c>
      <c r="D143" s="10" t="s">
        <v>286</v>
      </c>
      <c r="E143" s="13"/>
    </row>
    <row r="144" spans="1:5">
      <c r="A144" s="11">
        <v>143</v>
      </c>
      <c r="B144" s="19" t="s">
        <v>83</v>
      </c>
      <c r="C144" s="9" t="s">
        <v>287</v>
      </c>
      <c r="D144" s="10" t="str">
        <f>_xlfn.XLOOKUP(C144,[1]Sheet2!$A:$A,[1]Sheet2!$B:$B)</f>
        <v>RIBBON 20 RP RIBBON</v>
      </c>
      <c r="E144" s="13"/>
    </row>
    <row r="145" spans="1:5">
      <c r="A145" s="11">
        <v>144</v>
      </c>
      <c r="B145" s="19" t="s">
        <v>83</v>
      </c>
      <c r="C145" s="9" t="s">
        <v>288</v>
      </c>
      <c r="D145" s="10" t="str">
        <f>_xlfn.XLOOKUP(C145,[1]Sheet2!$A:$A,[1]Sheet2!$B:$B)</f>
        <v>THD 25/3 107TEX ANDR</v>
      </c>
      <c r="E145" s="13"/>
    </row>
    <row r="146" spans="1:5">
      <c r="A146" s="11">
        <v>145</v>
      </c>
      <c r="B146" s="19" t="s">
        <v>83</v>
      </c>
      <c r="C146" s="9" t="s">
        <v>289</v>
      </c>
      <c r="D146" s="10" t="str">
        <f>_xlfn.XLOOKUP(C146,[1]Sheet2!$A:$A,[1]Sheet2!$B:$B)</f>
        <v>THD 30/3 107TEX</v>
      </c>
      <c r="E146" s="13"/>
    </row>
    <row r="147" spans="1:5">
      <c r="A147" s="29">
        <v>146</v>
      </c>
      <c r="B147" s="30" t="s">
        <v>83</v>
      </c>
      <c r="C147" s="31" t="s">
        <v>313</v>
      </c>
      <c r="D147" s="32" t="s">
        <v>315</v>
      </c>
      <c r="E147" s="13"/>
    </row>
    <row r="148" spans="1:5">
      <c r="A148" s="29">
        <v>147</v>
      </c>
      <c r="B148" s="30" t="s">
        <v>83</v>
      </c>
      <c r="C148" s="31" t="s">
        <v>316</v>
      </c>
      <c r="D148" s="32" t="s">
        <v>317</v>
      </c>
      <c r="E148" s="13"/>
    </row>
    <row r="149" spans="1:5">
      <c r="A149" s="29">
        <v>148</v>
      </c>
      <c r="B149" s="30" t="s">
        <v>83</v>
      </c>
      <c r="C149" s="31" t="s">
        <v>318</v>
      </c>
      <c r="D149" s="32" t="s">
        <v>319</v>
      </c>
      <c r="E149" s="13"/>
    </row>
    <row r="150" spans="1:5">
      <c r="A150" s="29">
        <v>149</v>
      </c>
      <c r="B150" s="30" t="s">
        <v>83</v>
      </c>
      <c r="C150" s="31" t="s">
        <v>320</v>
      </c>
      <c r="D150" s="32" t="s">
        <v>321</v>
      </c>
      <c r="E150" s="13"/>
    </row>
    <row r="151" spans="1:5">
      <c r="A151" s="29">
        <v>150</v>
      </c>
      <c r="B151" s="30" t="s">
        <v>83</v>
      </c>
      <c r="C151" s="31" t="s">
        <v>322</v>
      </c>
      <c r="D151" s="32" t="s">
        <v>323</v>
      </c>
      <c r="E151" s="13"/>
    </row>
    <row r="152" spans="1:5">
      <c r="A152" s="29">
        <v>151</v>
      </c>
      <c r="B152" s="30" t="s">
        <v>83</v>
      </c>
      <c r="C152" s="31" t="s">
        <v>324</v>
      </c>
      <c r="D152" s="32" t="s">
        <v>325</v>
      </c>
      <c r="E152" s="13"/>
    </row>
    <row r="153" spans="1:5">
      <c r="A153" s="29">
        <v>152</v>
      </c>
      <c r="B153" s="30" t="s">
        <v>83</v>
      </c>
      <c r="C153" s="31" t="s">
        <v>328</v>
      </c>
      <c r="D153" s="32" t="s">
        <v>329</v>
      </c>
      <c r="E153" s="13"/>
    </row>
    <row r="154" spans="1:5">
      <c r="A154" s="29">
        <v>153</v>
      </c>
      <c r="B154" s="30" t="s">
        <v>83</v>
      </c>
      <c r="C154" s="31" t="s">
        <v>330</v>
      </c>
      <c r="D154" s="32" t="s">
        <v>331</v>
      </c>
      <c r="E154" s="13"/>
    </row>
    <row r="155" spans="1:5">
      <c r="A155" s="29">
        <v>154</v>
      </c>
      <c r="B155" s="30" t="s">
        <v>83</v>
      </c>
      <c r="C155" s="31" t="s">
        <v>332</v>
      </c>
      <c r="D155" s="32" t="s">
        <v>333</v>
      </c>
      <c r="E155" s="13"/>
    </row>
    <row r="156" spans="1:5">
      <c r="A156" s="29">
        <v>155</v>
      </c>
      <c r="B156" s="30" t="s">
        <v>83</v>
      </c>
      <c r="C156" s="31" t="s">
        <v>334</v>
      </c>
      <c r="D156" s="32" t="s">
        <v>335</v>
      </c>
      <c r="E156" s="13"/>
    </row>
  </sheetData>
  <conditionalFormatting sqref="E3:E156">
    <cfRule type="cellIs" dxfId="4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90F8B-10DA-4700-AC28-F6EE7600E3D6}">
  <dimension ref="A1:H41"/>
  <sheetViews>
    <sheetView topLeftCell="A4" workbookViewId="0">
      <selection activeCell="B12" sqref="B12"/>
    </sheetView>
  </sheetViews>
  <sheetFormatPr defaultRowHeight="14.4"/>
  <cols>
    <col min="1" max="1" width="19.77734375" bestFit="1" customWidth="1"/>
    <col min="2" max="2" width="37.77734375" bestFit="1" customWidth="1"/>
    <col min="3" max="3" width="28.6640625" bestFit="1" customWidth="1"/>
    <col min="4" max="5" width="7.109375" hidden="1" customWidth="1"/>
    <col min="6" max="7" width="7.33203125" hidden="1" customWidth="1"/>
    <col min="8" max="8" width="6" bestFit="1" customWidth="1"/>
  </cols>
  <sheetData>
    <row r="1" spans="1:8">
      <c r="F1">
        <f>48*6</f>
        <v>288</v>
      </c>
      <c r="G1">
        <f>48*8</f>
        <v>384</v>
      </c>
    </row>
    <row r="2" spans="1:8">
      <c r="A2" s="69" t="s">
        <v>408</v>
      </c>
      <c r="B2" s="13" t="s">
        <v>388</v>
      </c>
      <c r="C2" s="13" t="s">
        <v>409</v>
      </c>
      <c r="D2" s="13" t="s">
        <v>410</v>
      </c>
      <c r="E2" s="13" t="s">
        <v>411</v>
      </c>
      <c r="F2" s="13" t="s">
        <v>420</v>
      </c>
      <c r="G2" s="13" t="s">
        <v>421</v>
      </c>
      <c r="H2" s="13" t="s">
        <v>422</v>
      </c>
    </row>
    <row r="3" spans="1:8" ht="15.6">
      <c r="A3" s="72" t="s">
        <v>394</v>
      </c>
      <c r="B3" s="71" t="s">
        <v>395</v>
      </c>
      <c r="C3" s="69" t="s">
        <v>337</v>
      </c>
      <c r="D3" s="69">
        <v>2</v>
      </c>
      <c r="E3" s="73">
        <v>2</v>
      </c>
      <c r="F3" s="13">
        <f>$F$1*D3</f>
        <v>576</v>
      </c>
      <c r="G3" s="13">
        <f>$G$1*E3</f>
        <v>768</v>
      </c>
      <c r="H3" s="13">
        <f>G3+F3</f>
        <v>1344</v>
      </c>
    </row>
    <row r="4" spans="1:8" ht="15.6">
      <c r="A4" s="72" t="s">
        <v>396</v>
      </c>
      <c r="B4" s="71" t="s">
        <v>397</v>
      </c>
      <c r="C4" s="69" t="s">
        <v>337</v>
      </c>
      <c r="D4" s="69">
        <v>2</v>
      </c>
      <c r="E4" s="69">
        <v>2</v>
      </c>
      <c r="F4" s="13">
        <f t="shared" ref="F4:F10" si="0">$F$1*D4</f>
        <v>576</v>
      </c>
      <c r="G4" s="13">
        <f t="shared" ref="G4:G10" si="1">$G$1*E4</f>
        <v>768</v>
      </c>
      <c r="H4" s="13">
        <f t="shared" ref="H4:H10" si="2">G4+F4</f>
        <v>1344</v>
      </c>
    </row>
    <row r="5" spans="1:8" ht="15.6">
      <c r="A5" s="72" t="s">
        <v>398</v>
      </c>
      <c r="B5" s="71" t="s">
        <v>399</v>
      </c>
      <c r="C5" s="69" t="s">
        <v>337</v>
      </c>
      <c r="D5" s="69">
        <v>2</v>
      </c>
      <c r="E5" s="69">
        <v>2</v>
      </c>
      <c r="F5" s="13">
        <f t="shared" si="0"/>
        <v>576</v>
      </c>
      <c r="G5" s="13">
        <f t="shared" si="1"/>
        <v>768</v>
      </c>
      <c r="H5" s="13">
        <f t="shared" si="2"/>
        <v>1344</v>
      </c>
    </row>
    <row r="6" spans="1:8" ht="15.6">
      <c r="A6" s="72" t="s">
        <v>400</v>
      </c>
      <c r="B6" s="71" t="s">
        <v>401</v>
      </c>
      <c r="C6" s="69" t="s">
        <v>337</v>
      </c>
      <c r="D6" s="69">
        <v>2</v>
      </c>
      <c r="E6" s="69">
        <v>2</v>
      </c>
      <c r="F6" s="13">
        <f t="shared" si="0"/>
        <v>576</v>
      </c>
      <c r="G6" s="13">
        <f t="shared" si="1"/>
        <v>768</v>
      </c>
      <c r="H6" s="13">
        <f t="shared" si="2"/>
        <v>1344</v>
      </c>
    </row>
    <row r="7" spans="1:8" ht="15.6">
      <c r="A7" s="72" t="s">
        <v>402</v>
      </c>
      <c r="B7" s="71" t="s">
        <v>403</v>
      </c>
      <c r="C7" s="69" t="s">
        <v>337</v>
      </c>
      <c r="D7" s="69">
        <v>4</v>
      </c>
      <c r="E7" s="69">
        <v>4</v>
      </c>
      <c r="F7" s="13">
        <f t="shared" si="0"/>
        <v>1152</v>
      </c>
      <c r="G7" s="13">
        <f t="shared" si="1"/>
        <v>1536</v>
      </c>
      <c r="H7" s="13">
        <f t="shared" si="2"/>
        <v>2688</v>
      </c>
    </row>
    <row r="8" spans="1:8" ht="15.6">
      <c r="A8" s="72" t="s">
        <v>404</v>
      </c>
      <c r="B8" s="71" t="s">
        <v>405</v>
      </c>
      <c r="C8" s="69" t="s">
        <v>337</v>
      </c>
      <c r="D8" s="69">
        <v>1</v>
      </c>
      <c r="E8" s="69">
        <v>1</v>
      </c>
      <c r="F8" s="13">
        <f t="shared" si="0"/>
        <v>288</v>
      </c>
      <c r="G8" s="13">
        <f t="shared" si="1"/>
        <v>384</v>
      </c>
      <c r="H8" s="13">
        <f t="shared" si="2"/>
        <v>672</v>
      </c>
    </row>
    <row r="9" spans="1:8" ht="15.6">
      <c r="A9" s="72" t="s">
        <v>406</v>
      </c>
      <c r="B9" s="71" t="s">
        <v>407</v>
      </c>
      <c r="C9" s="69" t="s">
        <v>337</v>
      </c>
      <c r="D9" s="69">
        <v>2</v>
      </c>
      <c r="E9" s="69">
        <v>2</v>
      </c>
      <c r="F9" s="13">
        <f t="shared" si="0"/>
        <v>576</v>
      </c>
      <c r="G9" s="13">
        <f t="shared" si="1"/>
        <v>768</v>
      </c>
      <c r="H9" s="13">
        <f t="shared" si="2"/>
        <v>1344</v>
      </c>
    </row>
    <row r="10" spans="1:8" ht="15.6">
      <c r="A10" s="72" t="s">
        <v>418</v>
      </c>
      <c r="B10" s="71" t="s">
        <v>412</v>
      </c>
      <c r="C10" s="69" t="s">
        <v>419</v>
      </c>
      <c r="D10" s="69">
        <v>0.6</v>
      </c>
      <c r="E10" s="69">
        <v>0.6</v>
      </c>
      <c r="F10" s="13">
        <f t="shared" si="0"/>
        <v>172.79999999999998</v>
      </c>
      <c r="G10" s="13">
        <f t="shared" si="1"/>
        <v>230.39999999999998</v>
      </c>
      <c r="H10" s="13">
        <f t="shared" si="2"/>
        <v>403.19999999999993</v>
      </c>
    </row>
    <row r="13" spans="1:8" ht="15" thickBot="1"/>
    <row r="14" spans="1:8" ht="15" thickBot="1">
      <c r="A14" s="107" t="s">
        <v>464</v>
      </c>
      <c r="B14" s="107"/>
      <c r="C14" s="107"/>
      <c r="D14" s="84"/>
      <c r="E14" s="84"/>
      <c r="F14" s="86">
        <f>2*48</f>
        <v>96</v>
      </c>
      <c r="G14" s="86">
        <f>3*48</f>
        <v>144</v>
      </c>
      <c r="H14" s="84"/>
    </row>
    <row r="15" spans="1:8">
      <c r="A15" s="69" t="s">
        <v>408</v>
      </c>
      <c r="B15" s="13" t="s">
        <v>459</v>
      </c>
      <c r="C15" s="13" t="s">
        <v>460</v>
      </c>
      <c r="D15" s="13" t="s">
        <v>410</v>
      </c>
      <c r="E15" s="13" t="s">
        <v>411</v>
      </c>
      <c r="F15" s="85" t="s">
        <v>420</v>
      </c>
      <c r="G15" s="85" t="s">
        <v>421</v>
      </c>
      <c r="H15" s="13" t="s">
        <v>422</v>
      </c>
    </row>
    <row r="16" spans="1:8">
      <c r="A16" s="77" t="s">
        <v>423</v>
      </c>
      <c r="B16" s="77" t="s">
        <v>424</v>
      </c>
      <c r="C16" s="78" t="s">
        <v>425</v>
      </c>
      <c r="D16" s="13">
        <v>1</v>
      </c>
      <c r="E16" s="13">
        <v>1</v>
      </c>
      <c r="F16" s="13">
        <f>$F$14*D16</f>
        <v>96</v>
      </c>
      <c r="G16" s="13">
        <f>$G$14*E16</f>
        <v>144</v>
      </c>
      <c r="H16" s="13">
        <f>F16+G16</f>
        <v>240</v>
      </c>
    </row>
    <row r="17" spans="1:8">
      <c r="A17" s="77" t="s">
        <v>426</v>
      </c>
      <c r="B17" s="77" t="s">
        <v>427</v>
      </c>
      <c r="C17" s="78" t="s">
        <v>428</v>
      </c>
      <c r="D17" s="13">
        <v>1</v>
      </c>
      <c r="E17" s="13">
        <v>1</v>
      </c>
      <c r="F17" s="13">
        <f t="shared" ref="F17:F23" si="3">$F$14*D17</f>
        <v>96</v>
      </c>
      <c r="G17" s="13">
        <f t="shared" ref="G17:G23" si="4">$G$14*E17</f>
        <v>144</v>
      </c>
      <c r="H17" s="13">
        <f t="shared" ref="H17:H23" si="5">F17+G17</f>
        <v>240</v>
      </c>
    </row>
    <row r="18" spans="1:8">
      <c r="A18" s="77" t="s">
        <v>429</v>
      </c>
      <c r="B18" s="77" t="s">
        <v>430</v>
      </c>
      <c r="C18" s="78" t="s">
        <v>431</v>
      </c>
      <c r="D18" s="13">
        <v>1</v>
      </c>
      <c r="E18" s="13">
        <v>1</v>
      </c>
      <c r="F18" s="13">
        <f t="shared" si="3"/>
        <v>96</v>
      </c>
      <c r="G18" s="13">
        <f t="shared" si="4"/>
        <v>144</v>
      </c>
      <c r="H18" s="13">
        <f t="shared" si="5"/>
        <v>240</v>
      </c>
    </row>
    <row r="19" spans="1:8">
      <c r="A19" s="77" t="s">
        <v>432</v>
      </c>
      <c r="B19" s="77" t="s">
        <v>433</v>
      </c>
      <c r="C19" s="78" t="s">
        <v>434</v>
      </c>
      <c r="D19" s="13">
        <v>1</v>
      </c>
      <c r="E19" s="13">
        <v>1</v>
      </c>
      <c r="F19" s="13">
        <f t="shared" si="3"/>
        <v>96</v>
      </c>
      <c r="G19" s="13">
        <f t="shared" si="4"/>
        <v>144</v>
      </c>
      <c r="H19" s="13">
        <f t="shared" si="5"/>
        <v>240</v>
      </c>
    </row>
    <row r="20" spans="1:8">
      <c r="A20" s="77" t="s">
        <v>435</v>
      </c>
      <c r="B20" s="77" t="s">
        <v>436</v>
      </c>
      <c r="C20" s="78" t="s">
        <v>437</v>
      </c>
      <c r="D20" s="13">
        <v>1</v>
      </c>
      <c r="E20" s="13">
        <v>1</v>
      </c>
      <c r="F20" s="13">
        <f t="shared" si="3"/>
        <v>96</v>
      </c>
      <c r="G20" s="13">
        <f t="shared" si="4"/>
        <v>144</v>
      </c>
      <c r="H20" s="13">
        <f t="shared" si="5"/>
        <v>240</v>
      </c>
    </row>
    <row r="21" spans="1:8">
      <c r="A21" s="77" t="s">
        <v>438</v>
      </c>
      <c r="B21" s="77" t="s">
        <v>439</v>
      </c>
      <c r="C21" s="78" t="s">
        <v>440</v>
      </c>
      <c r="D21" s="13">
        <v>0</v>
      </c>
      <c r="E21" s="13">
        <v>1</v>
      </c>
      <c r="F21" s="13">
        <f t="shared" si="3"/>
        <v>0</v>
      </c>
      <c r="G21" s="13">
        <f t="shared" si="4"/>
        <v>144</v>
      </c>
      <c r="H21" s="13">
        <f t="shared" si="5"/>
        <v>144</v>
      </c>
    </row>
    <row r="22" spans="1:8">
      <c r="A22" s="77" t="s">
        <v>461</v>
      </c>
      <c r="B22" s="77" t="s">
        <v>462</v>
      </c>
      <c r="C22" s="78" t="s">
        <v>463</v>
      </c>
      <c r="D22" s="13">
        <v>1</v>
      </c>
      <c r="E22" s="13">
        <v>0</v>
      </c>
      <c r="F22" s="13">
        <f t="shared" si="3"/>
        <v>96</v>
      </c>
      <c r="G22" s="13">
        <f t="shared" si="4"/>
        <v>0</v>
      </c>
      <c r="H22" s="13">
        <f t="shared" si="5"/>
        <v>96</v>
      </c>
    </row>
    <row r="23" spans="1:8">
      <c r="A23" s="77" t="s">
        <v>441</v>
      </c>
      <c r="B23" s="77" t="s">
        <v>442</v>
      </c>
      <c r="C23" s="78" t="s">
        <v>443</v>
      </c>
      <c r="D23" s="13">
        <v>1</v>
      </c>
      <c r="E23" s="13">
        <v>1</v>
      </c>
      <c r="F23" s="13">
        <f t="shared" si="3"/>
        <v>96</v>
      </c>
      <c r="G23" s="13">
        <f t="shared" si="4"/>
        <v>144</v>
      </c>
      <c r="H23" s="13">
        <f t="shared" si="5"/>
        <v>240</v>
      </c>
    </row>
    <row r="24" spans="1:8" s="83" customFormat="1">
      <c r="A24" s="81"/>
      <c r="B24" s="81"/>
      <c r="C24" s="82"/>
    </row>
    <row r="26" spans="1:8">
      <c r="A26" s="69" t="s">
        <v>408</v>
      </c>
      <c r="B26" s="13" t="s">
        <v>459</v>
      </c>
      <c r="C26" s="13" t="s">
        <v>460</v>
      </c>
      <c r="D26" s="13" t="s">
        <v>410</v>
      </c>
      <c r="E26" s="13" t="s">
        <v>411</v>
      </c>
      <c r="F26" s="13" t="s">
        <v>420</v>
      </c>
      <c r="G26" s="13" t="s">
        <v>421</v>
      </c>
      <c r="H26" s="13" t="s">
        <v>422</v>
      </c>
    </row>
    <row r="27" spans="1:8">
      <c r="A27" s="74" t="s">
        <v>413</v>
      </c>
      <c r="B27" s="75" t="s">
        <v>414</v>
      </c>
      <c r="C27" s="75" t="s">
        <v>415</v>
      </c>
      <c r="D27" s="74">
        <v>0</v>
      </c>
      <c r="E27" s="74">
        <v>1</v>
      </c>
      <c r="F27" s="76">
        <f>$F$14*D27</f>
        <v>0</v>
      </c>
      <c r="G27" s="76">
        <f>$G$14*E27</f>
        <v>144</v>
      </c>
      <c r="H27" s="76">
        <f>G27+F27</f>
        <v>144</v>
      </c>
    </row>
    <row r="28" spans="1:8">
      <c r="A28" s="74" t="s">
        <v>416</v>
      </c>
      <c r="B28" s="74" t="s">
        <v>481</v>
      </c>
      <c r="C28" s="74" t="s">
        <v>417</v>
      </c>
      <c r="D28" s="74">
        <v>1</v>
      </c>
      <c r="E28" s="74">
        <v>0</v>
      </c>
      <c r="F28" s="76">
        <f>$F$14*D28</f>
        <v>96</v>
      </c>
      <c r="G28" s="76">
        <f>$G$14*E28</f>
        <v>0</v>
      </c>
      <c r="H28" s="76">
        <f>G28+F28</f>
        <v>96</v>
      </c>
    </row>
    <row r="29" spans="1:8" ht="15" thickBot="1"/>
    <row r="30" spans="1:8" ht="15" thickBot="1">
      <c r="A30" s="107" t="s">
        <v>465</v>
      </c>
      <c r="B30" s="107"/>
      <c r="C30" s="107"/>
      <c r="D30" s="84"/>
      <c r="E30" s="84"/>
      <c r="F30" s="86"/>
      <c r="G30" s="86"/>
      <c r="H30" s="84"/>
    </row>
    <row r="31" spans="1:8">
      <c r="A31" s="69" t="s">
        <v>408</v>
      </c>
      <c r="B31" s="13" t="s">
        <v>459</v>
      </c>
      <c r="C31" s="13" t="s">
        <v>460</v>
      </c>
      <c r="D31" s="13" t="s">
        <v>410</v>
      </c>
      <c r="E31" s="13" t="s">
        <v>411</v>
      </c>
      <c r="F31" s="85" t="s">
        <v>420</v>
      </c>
      <c r="G31" s="85" t="s">
        <v>421</v>
      </c>
      <c r="H31" s="13" t="s">
        <v>422</v>
      </c>
    </row>
    <row r="32" spans="1:8">
      <c r="A32" s="77" t="s">
        <v>444</v>
      </c>
      <c r="B32" s="77" t="s">
        <v>445</v>
      </c>
      <c r="C32" s="78" t="s">
        <v>446</v>
      </c>
      <c r="D32" s="13">
        <v>0</v>
      </c>
      <c r="E32" s="13">
        <v>1</v>
      </c>
      <c r="F32" s="13">
        <f t="shared" ref="F32:F41" si="6">$F$30*D32</f>
        <v>0</v>
      </c>
      <c r="G32" s="13">
        <f t="shared" ref="G32:G41" si="7">$G$30*E32</f>
        <v>0</v>
      </c>
      <c r="H32" s="13">
        <f>G32+F32</f>
        <v>0</v>
      </c>
    </row>
    <row r="33" spans="1:8">
      <c r="A33" s="77" t="s">
        <v>447</v>
      </c>
      <c r="B33" s="77" t="s">
        <v>448</v>
      </c>
      <c r="C33" s="78" t="s">
        <v>449</v>
      </c>
      <c r="D33" s="13">
        <v>0</v>
      </c>
      <c r="E33" s="13">
        <v>1</v>
      </c>
      <c r="F33" s="13">
        <f t="shared" si="6"/>
        <v>0</v>
      </c>
      <c r="G33" s="13">
        <f t="shared" si="7"/>
        <v>0</v>
      </c>
      <c r="H33" s="13">
        <f t="shared" ref="H33:H41" si="8">G33+F33</f>
        <v>0</v>
      </c>
    </row>
    <row r="34" spans="1:8">
      <c r="A34" s="77" t="s">
        <v>450</v>
      </c>
      <c r="B34" s="77" t="s">
        <v>451</v>
      </c>
      <c r="C34" s="78" t="s">
        <v>452</v>
      </c>
      <c r="D34" s="13">
        <v>0</v>
      </c>
      <c r="E34" s="13">
        <v>1</v>
      </c>
      <c r="F34" s="13">
        <f t="shared" si="6"/>
        <v>0</v>
      </c>
      <c r="G34" s="13">
        <f t="shared" si="7"/>
        <v>0</v>
      </c>
      <c r="H34" s="13">
        <f t="shared" si="8"/>
        <v>0</v>
      </c>
    </row>
    <row r="35" spans="1:8">
      <c r="A35" s="77" t="s">
        <v>453</v>
      </c>
      <c r="B35" s="77" t="s">
        <v>454</v>
      </c>
      <c r="C35" s="78" t="s">
        <v>455</v>
      </c>
      <c r="D35" s="13">
        <v>0</v>
      </c>
      <c r="E35" s="13">
        <v>1</v>
      </c>
      <c r="F35" s="13">
        <f t="shared" si="6"/>
        <v>0</v>
      </c>
      <c r="G35" s="13">
        <f t="shared" si="7"/>
        <v>0</v>
      </c>
      <c r="H35" s="13">
        <f t="shared" si="8"/>
        <v>0</v>
      </c>
    </row>
    <row r="36" spans="1:8">
      <c r="A36" s="77" t="s">
        <v>456</v>
      </c>
      <c r="B36" s="77" t="s">
        <v>457</v>
      </c>
      <c r="C36" s="78" t="s">
        <v>458</v>
      </c>
      <c r="D36" s="13">
        <v>0</v>
      </c>
      <c r="E36" s="13">
        <v>1</v>
      </c>
      <c r="F36" s="13">
        <f t="shared" si="6"/>
        <v>0</v>
      </c>
      <c r="G36" s="13">
        <f t="shared" si="7"/>
        <v>0</v>
      </c>
      <c r="H36" s="13">
        <f t="shared" si="8"/>
        <v>0</v>
      </c>
    </row>
    <row r="37" spans="1:8">
      <c r="A37" s="79" t="s">
        <v>466</v>
      </c>
      <c r="B37" s="79" t="s">
        <v>471</v>
      </c>
      <c r="C37" s="80" t="s">
        <v>472</v>
      </c>
      <c r="D37" s="13">
        <v>1</v>
      </c>
      <c r="E37" s="13">
        <v>0</v>
      </c>
      <c r="F37" s="13">
        <f t="shared" si="6"/>
        <v>0</v>
      </c>
      <c r="G37" s="13">
        <f t="shared" si="7"/>
        <v>0</v>
      </c>
      <c r="H37" s="13">
        <f t="shared" si="8"/>
        <v>0</v>
      </c>
    </row>
    <row r="38" spans="1:8">
      <c r="A38" s="79" t="s">
        <v>467</v>
      </c>
      <c r="B38" s="79" t="s">
        <v>473</v>
      </c>
      <c r="C38" s="80" t="s">
        <v>474</v>
      </c>
      <c r="D38" s="13">
        <v>1</v>
      </c>
      <c r="E38" s="13">
        <v>0</v>
      </c>
      <c r="F38" s="13">
        <f t="shared" si="6"/>
        <v>0</v>
      </c>
      <c r="G38" s="13">
        <f t="shared" si="7"/>
        <v>0</v>
      </c>
      <c r="H38" s="13">
        <f t="shared" si="8"/>
        <v>0</v>
      </c>
    </row>
    <row r="39" spans="1:8">
      <c r="A39" s="79" t="s">
        <v>468</v>
      </c>
      <c r="B39" s="79" t="s">
        <v>475</v>
      </c>
      <c r="C39" s="80" t="s">
        <v>476</v>
      </c>
      <c r="D39" s="13">
        <v>1</v>
      </c>
      <c r="E39" s="13">
        <v>0</v>
      </c>
      <c r="F39" s="13">
        <f t="shared" si="6"/>
        <v>0</v>
      </c>
      <c r="G39" s="13">
        <f t="shared" si="7"/>
        <v>0</v>
      </c>
      <c r="H39" s="13">
        <f t="shared" si="8"/>
        <v>0</v>
      </c>
    </row>
    <row r="40" spans="1:8">
      <c r="A40" s="79" t="s">
        <v>469</v>
      </c>
      <c r="B40" s="79" t="s">
        <v>477</v>
      </c>
      <c r="C40" s="80" t="s">
        <v>478</v>
      </c>
      <c r="D40" s="13">
        <v>1</v>
      </c>
      <c r="E40" s="13">
        <v>0</v>
      </c>
      <c r="F40" s="13">
        <f t="shared" si="6"/>
        <v>0</v>
      </c>
      <c r="G40" s="13">
        <f t="shared" si="7"/>
        <v>0</v>
      </c>
      <c r="H40" s="13">
        <f t="shared" si="8"/>
        <v>0</v>
      </c>
    </row>
    <row r="41" spans="1:8">
      <c r="A41" s="79" t="s">
        <v>470</v>
      </c>
      <c r="B41" s="79" t="s">
        <v>479</v>
      </c>
      <c r="C41" s="80" t="s">
        <v>480</v>
      </c>
      <c r="D41" s="13">
        <v>1</v>
      </c>
      <c r="E41" s="13">
        <v>0</v>
      </c>
      <c r="F41" s="13">
        <f t="shared" si="6"/>
        <v>0</v>
      </c>
      <c r="G41" s="13">
        <f t="shared" si="7"/>
        <v>0</v>
      </c>
      <c r="H41" s="13">
        <f t="shared" si="8"/>
        <v>0</v>
      </c>
    </row>
  </sheetData>
  <mergeCells count="2">
    <mergeCell ref="A14:C14"/>
    <mergeCell ref="A30:C30"/>
  </mergeCells>
  <conditionalFormatting sqref="A16:A24">
    <cfRule type="duplicateValues" dxfId="3" priority="43"/>
  </conditionalFormatting>
  <conditionalFormatting sqref="A32:A36">
    <cfRule type="duplicateValues" dxfId="2" priority="45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0ED31-2226-4F29-A9B2-F866ED1B0E8E}">
  <dimension ref="B1:U35"/>
  <sheetViews>
    <sheetView topLeftCell="F7" workbookViewId="0">
      <selection activeCell="E2" sqref="E2:R2"/>
    </sheetView>
  </sheetViews>
  <sheetFormatPr defaultRowHeight="14.4"/>
  <cols>
    <col min="4" max="4" width="19.6640625" bestFit="1" customWidth="1"/>
    <col min="9" max="9" width="13.5546875" bestFit="1" customWidth="1"/>
    <col min="17" max="17" width="10.88671875" bestFit="1" customWidth="1"/>
    <col min="18" max="18" width="10.33203125" bestFit="1" customWidth="1"/>
    <col min="20" max="20" width="56.5546875" bestFit="1" customWidth="1"/>
  </cols>
  <sheetData>
    <row r="1" spans="2:18" ht="15" thickBot="1">
      <c r="B1" s="39"/>
    </row>
    <row r="2" spans="2:18" ht="15" thickBot="1">
      <c r="B2" s="40"/>
      <c r="C2" s="40"/>
      <c r="D2" s="40"/>
      <c r="E2" s="122">
        <v>2025</v>
      </c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4"/>
    </row>
    <row r="3" spans="2:18" ht="15" thickBot="1">
      <c r="B3" s="40"/>
      <c r="C3" s="40"/>
      <c r="D3" s="40"/>
      <c r="E3" s="41" t="s">
        <v>352</v>
      </c>
      <c r="F3" s="42" t="s">
        <v>353</v>
      </c>
      <c r="G3" s="43"/>
      <c r="H3" s="44"/>
      <c r="I3" s="42" t="s">
        <v>354</v>
      </c>
      <c r="J3" s="42" t="s">
        <v>355</v>
      </c>
      <c r="K3" s="42" t="s">
        <v>356</v>
      </c>
      <c r="L3" s="42" t="s">
        <v>357</v>
      </c>
      <c r="M3" s="42" t="s">
        <v>358</v>
      </c>
      <c r="N3" s="42" t="s">
        <v>359</v>
      </c>
      <c r="O3" s="42" t="s">
        <v>360</v>
      </c>
      <c r="P3" s="42" t="s">
        <v>361</v>
      </c>
      <c r="Q3" s="42" t="s">
        <v>362</v>
      </c>
      <c r="R3" s="42" t="s">
        <v>363</v>
      </c>
    </row>
    <row r="4" spans="2:18" ht="15" thickBot="1">
      <c r="B4" s="122" t="s">
        <v>364</v>
      </c>
      <c r="C4" s="123"/>
      <c r="D4" s="125"/>
      <c r="E4" s="45">
        <v>26</v>
      </c>
      <c r="F4" s="45">
        <v>30</v>
      </c>
      <c r="G4" s="43"/>
      <c r="H4" s="44"/>
      <c r="I4" s="45">
        <v>275</v>
      </c>
      <c r="J4" s="45">
        <v>243</v>
      </c>
      <c r="K4" s="45">
        <v>260</v>
      </c>
      <c r="L4" s="45">
        <v>357</v>
      </c>
      <c r="M4" s="45">
        <v>847</v>
      </c>
      <c r="N4" s="45">
        <v>850</v>
      </c>
      <c r="O4" s="45">
        <v>1030</v>
      </c>
      <c r="P4" s="45">
        <v>808</v>
      </c>
      <c r="Q4" s="45">
        <v>778</v>
      </c>
      <c r="R4" s="45">
        <v>990</v>
      </c>
    </row>
    <row r="5" spans="2:18" ht="15" thickBot="1">
      <c r="B5" s="122" t="s">
        <v>365</v>
      </c>
      <c r="C5" s="123"/>
      <c r="D5" s="125"/>
      <c r="E5" s="46">
        <v>26</v>
      </c>
      <c r="F5" s="47">
        <v>56</v>
      </c>
      <c r="G5" s="48"/>
      <c r="H5" s="49"/>
      <c r="I5" s="47">
        <v>331</v>
      </c>
      <c r="J5" s="47">
        <v>574</v>
      </c>
      <c r="K5" s="47">
        <v>834</v>
      </c>
      <c r="L5" s="47">
        <v>1191</v>
      </c>
      <c r="M5" s="47">
        <v>2037</v>
      </c>
      <c r="N5" s="47">
        <v>2887</v>
      </c>
      <c r="O5" s="47">
        <v>3917</v>
      </c>
      <c r="P5" s="47">
        <v>4725</v>
      </c>
      <c r="Q5" s="47">
        <v>5503</v>
      </c>
      <c r="R5" s="50">
        <v>6493</v>
      </c>
    </row>
    <row r="6" spans="2:18" ht="15" thickBot="1">
      <c r="B6" s="126"/>
      <c r="C6" s="127"/>
      <c r="D6" s="128" t="s">
        <v>366</v>
      </c>
      <c r="E6" s="52"/>
      <c r="F6" s="52"/>
      <c r="G6" s="130" t="s">
        <v>367</v>
      </c>
      <c r="H6" s="131"/>
      <c r="I6" s="53"/>
      <c r="J6" s="54"/>
      <c r="K6" s="54"/>
      <c r="L6" s="54"/>
      <c r="M6" s="54"/>
      <c r="N6" s="54"/>
      <c r="O6" s="54"/>
      <c r="P6" s="54"/>
      <c r="Q6" s="54"/>
      <c r="R6" s="55"/>
    </row>
    <row r="7" spans="2:18" ht="15" thickBot="1">
      <c r="B7" s="122" t="s">
        <v>368</v>
      </c>
      <c r="C7" s="124"/>
      <c r="D7" s="129"/>
      <c r="E7" s="56"/>
      <c r="F7" s="56"/>
      <c r="G7" s="132" t="s">
        <v>369</v>
      </c>
      <c r="H7" s="133"/>
      <c r="I7" s="56"/>
      <c r="J7" s="56"/>
      <c r="K7" s="56"/>
      <c r="L7" s="56"/>
      <c r="M7" s="56"/>
      <c r="N7" s="56"/>
      <c r="O7" s="56"/>
      <c r="P7" s="56"/>
      <c r="Q7" s="56"/>
      <c r="R7" s="51"/>
    </row>
    <row r="8" spans="2:18" ht="15" thickBot="1">
      <c r="B8" s="110" t="s">
        <v>370</v>
      </c>
      <c r="C8" s="111"/>
      <c r="D8" s="112" t="s">
        <v>371</v>
      </c>
      <c r="E8" s="45">
        <v>14</v>
      </c>
      <c r="F8" s="45">
        <v>12</v>
      </c>
      <c r="G8" s="114">
        <v>0.4</v>
      </c>
      <c r="H8" s="115"/>
      <c r="I8" s="45">
        <v>110</v>
      </c>
      <c r="J8" s="45">
        <v>97</v>
      </c>
      <c r="K8" s="45">
        <v>104</v>
      </c>
      <c r="L8" s="45">
        <v>143</v>
      </c>
      <c r="M8" s="45">
        <v>339</v>
      </c>
      <c r="N8" s="45">
        <v>340</v>
      </c>
      <c r="O8" s="45">
        <v>412</v>
      </c>
      <c r="P8" s="45">
        <v>323</v>
      </c>
      <c r="Q8" s="45">
        <v>311</v>
      </c>
      <c r="R8" s="45">
        <v>396</v>
      </c>
    </row>
    <row r="9" spans="2:18" ht="15" thickBot="1">
      <c r="B9" s="116" t="s">
        <v>372</v>
      </c>
      <c r="C9" s="117"/>
      <c r="D9" s="113"/>
      <c r="E9" s="45">
        <v>12</v>
      </c>
      <c r="F9" s="45">
        <v>18</v>
      </c>
      <c r="G9" s="118">
        <v>0.6</v>
      </c>
      <c r="H9" s="119"/>
      <c r="I9" s="45">
        <v>165</v>
      </c>
      <c r="J9" s="45">
        <v>148</v>
      </c>
      <c r="K9" s="45">
        <v>155</v>
      </c>
      <c r="L9" s="45">
        <v>214</v>
      </c>
      <c r="M9" s="45">
        <v>508</v>
      </c>
      <c r="N9" s="45">
        <v>510</v>
      </c>
      <c r="O9" s="45">
        <v>618</v>
      </c>
      <c r="P9" s="45">
        <v>485</v>
      </c>
      <c r="Q9" s="45">
        <v>467</v>
      </c>
      <c r="R9" s="45">
        <v>594</v>
      </c>
    </row>
    <row r="10" spans="2:18" ht="15" thickBot="1">
      <c r="B10" s="40"/>
      <c r="C10" s="40"/>
      <c r="D10" s="40"/>
      <c r="E10" s="57">
        <v>26</v>
      </c>
      <c r="F10" s="58">
        <v>30</v>
      </c>
      <c r="G10" s="120"/>
      <c r="H10" s="121"/>
      <c r="I10" s="58">
        <v>275</v>
      </c>
      <c r="J10" s="58">
        <v>245</v>
      </c>
      <c r="K10" s="58">
        <v>259</v>
      </c>
      <c r="L10" s="58">
        <v>357</v>
      </c>
      <c r="M10" s="58">
        <v>847</v>
      </c>
      <c r="N10" s="58">
        <v>850</v>
      </c>
      <c r="O10" s="58">
        <v>1030</v>
      </c>
      <c r="P10" s="58">
        <v>808</v>
      </c>
      <c r="Q10" s="58">
        <v>778</v>
      </c>
      <c r="R10" s="58">
        <v>990</v>
      </c>
    </row>
    <row r="11" spans="2:18">
      <c r="B11" s="39"/>
      <c r="I11" s="108">
        <f>I10+J10</f>
        <v>520</v>
      </c>
      <c r="J11" s="108"/>
      <c r="K11" s="109">
        <f>K10+L10</f>
        <v>616</v>
      </c>
      <c r="L11" s="109"/>
    </row>
    <row r="12" spans="2:18">
      <c r="C12" s="59"/>
      <c r="I12" s="134" t="s">
        <v>373</v>
      </c>
      <c r="J12" t="s">
        <v>290</v>
      </c>
      <c r="K12">
        <f>J8+I8</f>
        <v>207</v>
      </c>
      <c r="P12" s="13" t="s">
        <v>290</v>
      </c>
      <c r="Q12" s="13" t="s">
        <v>291</v>
      </c>
    </row>
    <row r="13" spans="2:18">
      <c r="C13" s="59"/>
      <c r="I13" s="134"/>
      <c r="J13" t="s">
        <v>307</v>
      </c>
      <c r="K13">
        <f>J9+I9</f>
        <v>313</v>
      </c>
      <c r="L13">
        <f>K11+I11</f>
        <v>1136</v>
      </c>
      <c r="P13" s="65">
        <f>(I8+J8)-(I25+J25)</f>
        <v>74.199999999999989</v>
      </c>
      <c r="Q13" s="65">
        <f>(I9+J9)-(I26+J26)</f>
        <v>113.80000000000001</v>
      </c>
    </row>
    <row r="14" spans="2:18">
      <c r="I14" s="135"/>
      <c r="J14" t="s">
        <v>290</v>
      </c>
      <c r="K14">
        <f>K8+L8</f>
        <v>247</v>
      </c>
      <c r="P14" s="65"/>
      <c r="Q14" s="65"/>
    </row>
    <row r="15" spans="2:18">
      <c r="I15" s="135"/>
      <c r="J15" t="s">
        <v>307</v>
      </c>
      <c r="K15">
        <f>K9+L9</f>
        <v>369</v>
      </c>
    </row>
    <row r="16" spans="2:18">
      <c r="Q16" s="64"/>
    </row>
    <row r="17" spans="2:21">
      <c r="O17">
        <f>I11+K11</f>
        <v>1136</v>
      </c>
    </row>
    <row r="18" spans="2:21" ht="15" thickBot="1"/>
    <row r="19" spans="2:21" ht="15" thickBot="1">
      <c r="B19" s="40"/>
      <c r="C19" s="40"/>
      <c r="D19" s="40"/>
      <c r="E19" s="122">
        <v>2025</v>
      </c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4"/>
    </row>
    <row r="20" spans="2:21" ht="15" thickBot="1">
      <c r="B20" s="40"/>
      <c r="C20" s="40"/>
      <c r="D20" s="40"/>
      <c r="E20" s="41" t="s">
        <v>352</v>
      </c>
      <c r="F20" s="42" t="s">
        <v>353</v>
      </c>
      <c r="G20" s="43"/>
      <c r="H20" s="44"/>
      <c r="I20" s="42" t="s">
        <v>354</v>
      </c>
      <c r="J20" s="42" t="s">
        <v>355</v>
      </c>
      <c r="K20" s="42" t="s">
        <v>356</v>
      </c>
      <c r="L20" s="42" t="s">
        <v>357</v>
      </c>
      <c r="M20" s="42" t="s">
        <v>358</v>
      </c>
      <c r="N20" s="42" t="s">
        <v>359</v>
      </c>
      <c r="O20" s="42" t="s">
        <v>360</v>
      </c>
      <c r="P20" s="42" t="s">
        <v>361</v>
      </c>
      <c r="Q20" s="42" t="s">
        <v>362</v>
      </c>
      <c r="R20" s="42" t="s">
        <v>363</v>
      </c>
      <c r="T20" s="63" t="s">
        <v>377</v>
      </c>
      <c r="U20" s="63" t="s">
        <v>378</v>
      </c>
    </row>
    <row r="21" spans="2:21" ht="15" thickBot="1">
      <c r="B21" s="122" t="s">
        <v>364</v>
      </c>
      <c r="C21" s="123"/>
      <c r="D21" s="125"/>
      <c r="E21" s="45">
        <v>26</v>
      </c>
      <c r="F21" s="45">
        <v>30</v>
      </c>
      <c r="G21" s="43"/>
      <c r="H21" s="44"/>
      <c r="I21" s="45">
        <v>275</v>
      </c>
      <c r="J21" s="45">
        <v>243</v>
      </c>
      <c r="K21" s="45">
        <v>260</v>
      </c>
      <c r="L21" s="45">
        <v>357</v>
      </c>
      <c r="M21" s="45">
        <v>847</v>
      </c>
      <c r="N21" s="45">
        <v>850</v>
      </c>
      <c r="O21" s="45">
        <v>1030</v>
      </c>
      <c r="P21" s="45">
        <v>808</v>
      </c>
      <c r="Q21" s="45">
        <v>778</v>
      </c>
      <c r="R21" s="45">
        <v>990</v>
      </c>
      <c r="T21" s="2" t="s">
        <v>379</v>
      </c>
      <c r="U21" s="2">
        <v>12</v>
      </c>
    </row>
    <row r="22" spans="2:21" ht="15" thickBot="1">
      <c r="B22" s="122" t="s">
        <v>365</v>
      </c>
      <c r="C22" s="123"/>
      <c r="D22" s="125"/>
      <c r="E22" s="46">
        <v>26</v>
      </c>
      <c r="F22" s="47">
        <v>56</v>
      </c>
      <c r="G22" s="48"/>
      <c r="H22" s="49"/>
      <c r="I22" s="47">
        <v>331</v>
      </c>
      <c r="J22" s="47">
        <v>574</v>
      </c>
      <c r="K22" s="47">
        <v>834</v>
      </c>
      <c r="L22" s="47">
        <v>1191</v>
      </c>
      <c r="M22" s="47">
        <v>2037</v>
      </c>
      <c r="N22" s="47">
        <v>2887</v>
      </c>
      <c r="O22" s="47">
        <v>3917</v>
      </c>
      <c r="P22" s="47">
        <v>4725</v>
      </c>
      <c r="Q22" s="47">
        <v>5503</v>
      </c>
      <c r="R22" s="50">
        <v>6493</v>
      </c>
      <c r="T22" s="4" t="s">
        <v>380</v>
      </c>
      <c r="U22" s="2">
        <v>5</v>
      </c>
    </row>
    <row r="23" spans="2:21" ht="15" thickBot="1">
      <c r="B23" s="126"/>
      <c r="C23" s="127"/>
      <c r="D23" s="128" t="s">
        <v>366</v>
      </c>
      <c r="E23" s="52"/>
      <c r="F23" s="52"/>
      <c r="G23" s="130" t="s">
        <v>367</v>
      </c>
      <c r="H23" s="131"/>
      <c r="I23" s="53"/>
      <c r="J23" s="54"/>
      <c r="K23" s="54"/>
      <c r="L23" s="54"/>
      <c r="M23" s="54"/>
      <c r="N23" s="54"/>
      <c r="O23" s="54"/>
      <c r="P23" s="54"/>
      <c r="Q23" s="54"/>
      <c r="R23" s="55"/>
      <c r="T23" s="2" t="s">
        <v>381</v>
      </c>
      <c r="U23" s="2">
        <v>4</v>
      </c>
    </row>
    <row r="24" spans="2:21" ht="15" thickBot="1">
      <c r="B24" s="122" t="s">
        <v>368</v>
      </c>
      <c r="C24" s="124"/>
      <c r="D24" s="129"/>
      <c r="E24" s="56"/>
      <c r="F24" s="56"/>
      <c r="G24" s="132" t="s">
        <v>369</v>
      </c>
      <c r="H24" s="133"/>
      <c r="I24" s="56"/>
      <c r="J24" s="56"/>
      <c r="K24" s="56"/>
      <c r="L24" s="56"/>
      <c r="M24" s="56"/>
      <c r="N24" s="56"/>
      <c r="O24" s="56"/>
      <c r="P24" s="56"/>
      <c r="Q24" s="56"/>
      <c r="R24" s="51"/>
      <c r="T24" s="4" t="s">
        <v>382</v>
      </c>
      <c r="U24" s="2">
        <v>4</v>
      </c>
    </row>
    <row r="25" spans="2:21" ht="15" thickBot="1">
      <c r="B25" s="110" t="s">
        <v>370</v>
      </c>
      <c r="C25" s="111"/>
      <c r="D25" s="112" t="s">
        <v>371</v>
      </c>
      <c r="E25" s="45">
        <v>14</v>
      </c>
      <c r="F25" s="45">
        <v>12</v>
      </c>
      <c r="G25" s="114">
        <v>0.4</v>
      </c>
      <c r="H25" s="115"/>
      <c r="I25" s="61">
        <f>I27*G25</f>
        <v>33.6</v>
      </c>
      <c r="J25" s="61">
        <f>G25*J27</f>
        <v>99.2</v>
      </c>
      <c r="K25" s="45">
        <f>K27*G25</f>
        <v>104</v>
      </c>
      <c r="L25" s="61">
        <f>G25*L27</f>
        <v>140.4</v>
      </c>
      <c r="M25" s="45">
        <v>339</v>
      </c>
      <c r="N25" s="45">
        <v>340</v>
      </c>
      <c r="O25" s="45">
        <v>412</v>
      </c>
      <c r="P25" s="45">
        <v>323</v>
      </c>
      <c r="Q25" s="45">
        <v>311</v>
      </c>
      <c r="R25" s="45">
        <v>396</v>
      </c>
      <c r="T25" s="2" t="s">
        <v>383</v>
      </c>
      <c r="U25" s="2">
        <v>3</v>
      </c>
    </row>
    <row r="26" spans="2:21" ht="15" thickBot="1">
      <c r="B26" s="116" t="s">
        <v>372</v>
      </c>
      <c r="C26" s="117"/>
      <c r="D26" s="113"/>
      <c r="E26" s="45">
        <v>12</v>
      </c>
      <c r="F26" s="45">
        <v>18</v>
      </c>
      <c r="G26" s="118">
        <v>0.6</v>
      </c>
      <c r="H26" s="119"/>
      <c r="I26" s="61">
        <f>G26*I27</f>
        <v>50.4</v>
      </c>
      <c r="J26" s="61">
        <f>J27*G26</f>
        <v>148.79999999999998</v>
      </c>
      <c r="K26" s="45">
        <f>K27*G26</f>
        <v>156</v>
      </c>
      <c r="L26" s="61">
        <f>G26*L27</f>
        <v>210.6</v>
      </c>
      <c r="M26" s="45">
        <v>508</v>
      </c>
      <c r="N26" s="45">
        <v>510</v>
      </c>
      <c r="O26" s="45">
        <v>618</v>
      </c>
      <c r="P26" s="45">
        <v>485</v>
      </c>
      <c r="Q26" s="45">
        <v>467</v>
      </c>
      <c r="R26" s="45">
        <v>594</v>
      </c>
      <c r="T26" s="4" t="s">
        <v>384</v>
      </c>
      <c r="U26" s="2">
        <v>2</v>
      </c>
    </row>
    <row r="27" spans="2:21" ht="15" thickBot="1">
      <c r="B27" s="40"/>
      <c r="C27" s="40"/>
      <c r="D27" s="40"/>
      <c r="E27" s="57">
        <v>26</v>
      </c>
      <c r="F27" s="58">
        <v>30</v>
      </c>
      <c r="G27" s="120"/>
      <c r="H27" s="121"/>
      <c r="I27" s="58">
        <v>84</v>
      </c>
      <c r="J27" s="58">
        <v>248</v>
      </c>
      <c r="K27" s="58">
        <v>260</v>
      </c>
      <c r="L27" s="58">
        <v>351</v>
      </c>
      <c r="M27" s="60">
        <v>847</v>
      </c>
      <c r="N27" s="60">
        <v>850</v>
      </c>
      <c r="O27" s="60">
        <v>1030</v>
      </c>
      <c r="P27" s="60">
        <v>808</v>
      </c>
      <c r="Q27" s="60">
        <v>778</v>
      </c>
      <c r="R27" s="60">
        <v>990</v>
      </c>
    </row>
    <row r="28" spans="2:21">
      <c r="I28" s="108">
        <f>I27+J27</f>
        <v>332</v>
      </c>
      <c r="J28" s="108"/>
      <c r="K28" s="109">
        <f>K27+L27</f>
        <v>611</v>
      </c>
      <c r="L28" s="109"/>
    </row>
    <row r="29" spans="2:21">
      <c r="R29" s="13" t="s">
        <v>385</v>
      </c>
      <c r="S29" s="65">
        <f>(K25+L25)-P13</f>
        <v>170.20000000000002</v>
      </c>
    </row>
    <row r="30" spans="2:21">
      <c r="G30" s="62"/>
      <c r="M30" s="64">
        <f>K25+L25</f>
        <v>244.4</v>
      </c>
      <c r="R30" s="13" t="s">
        <v>386</v>
      </c>
      <c r="S30" s="65">
        <f>(K26+L26)-Q13</f>
        <v>252.8</v>
      </c>
    </row>
    <row r="31" spans="2:21">
      <c r="F31">
        <v>454</v>
      </c>
      <c r="G31">
        <v>377</v>
      </c>
      <c r="H31">
        <v>207</v>
      </c>
      <c r="I31">
        <f>G31-H31</f>
        <v>170</v>
      </c>
      <c r="K31">
        <f>I28+K28</f>
        <v>943</v>
      </c>
      <c r="M31" s="64">
        <f>K26+L26</f>
        <v>366.6</v>
      </c>
      <c r="N31">
        <f>O17-K31</f>
        <v>193</v>
      </c>
    </row>
    <row r="32" spans="2:21">
      <c r="F32">
        <v>682</v>
      </c>
      <c r="G32">
        <v>566</v>
      </c>
      <c r="H32">
        <v>313</v>
      </c>
      <c r="I32">
        <f>G32-H32</f>
        <v>253</v>
      </c>
      <c r="Q32">
        <f>260-114</f>
        <v>146</v>
      </c>
    </row>
    <row r="33" spans="17:17">
      <c r="Q33">
        <f>351-74</f>
        <v>277</v>
      </c>
    </row>
    <row r="35" spans="17:17">
      <c r="Q35">
        <f>Q32+Q33</f>
        <v>423</v>
      </c>
    </row>
  </sheetData>
  <mergeCells count="34">
    <mergeCell ref="E2:R2"/>
    <mergeCell ref="B4:D4"/>
    <mergeCell ref="B5:D5"/>
    <mergeCell ref="B6:C6"/>
    <mergeCell ref="D6:D7"/>
    <mergeCell ref="G6:H6"/>
    <mergeCell ref="B7:C7"/>
    <mergeCell ref="G7:H7"/>
    <mergeCell ref="G24:H24"/>
    <mergeCell ref="I12:I13"/>
    <mergeCell ref="I14:I15"/>
    <mergeCell ref="B8:C8"/>
    <mergeCell ref="D8:D9"/>
    <mergeCell ref="G8:H8"/>
    <mergeCell ref="B9:C9"/>
    <mergeCell ref="G9:H9"/>
    <mergeCell ref="G10:H10"/>
    <mergeCell ref="I11:J11"/>
    <mergeCell ref="I28:J28"/>
    <mergeCell ref="K11:L11"/>
    <mergeCell ref="K28:L28"/>
    <mergeCell ref="B25:C25"/>
    <mergeCell ref="D25:D26"/>
    <mergeCell ref="G25:H25"/>
    <mergeCell ref="B26:C26"/>
    <mergeCell ref="G26:H26"/>
    <mergeCell ref="G27:H27"/>
    <mergeCell ref="E19:R19"/>
    <mergeCell ref="B21:D21"/>
    <mergeCell ref="B22:D22"/>
    <mergeCell ref="B23:C23"/>
    <mergeCell ref="D23:D24"/>
    <mergeCell ref="G23:H23"/>
    <mergeCell ref="B24:C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169E6-483B-4DA4-B9BE-E706CBC6FEE8}">
  <sheetPr>
    <tabColor rgb="FFFFFF00"/>
  </sheetPr>
  <dimension ref="A1:H43"/>
  <sheetViews>
    <sheetView tabSelected="1" topLeftCell="A5" zoomScaleNormal="100" workbookViewId="0">
      <selection activeCell="A16" sqref="A16:H43"/>
    </sheetView>
  </sheetViews>
  <sheetFormatPr defaultRowHeight="14.4"/>
  <cols>
    <col min="1" max="1" width="19.77734375" bestFit="1" customWidth="1"/>
    <col min="2" max="2" width="37.77734375" bestFit="1" customWidth="1"/>
    <col min="3" max="3" width="28.6640625" bestFit="1" customWidth="1"/>
    <col min="4" max="5" width="7.109375" bestFit="1" customWidth="1"/>
    <col min="6" max="7" width="7.33203125" bestFit="1" customWidth="1"/>
    <col min="8" max="8" width="6" bestFit="1" customWidth="1"/>
  </cols>
  <sheetData>
    <row r="1" spans="1:8">
      <c r="A1" s="142" t="s">
        <v>491</v>
      </c>
      <c r="B1" s="143"/>
      <c r="C1" s="143"/>
      <c r="D1" s="143"/>
      <c r="E1" s="143"/>
      <c r="F1" s="143"/>
      <c r="G1" s="143"/>
      <c r="H1" s="144"/>
    </row>
    <row r="2" spans="1:8" ht="15" thickBot="1">
      <c r="A2" s="145"/>
      <c r="B2" s="146"/>
      <c r="C2" s="146"/>
      <c r="D2" s="146"/>
      <c r="E2" s="146"/>
      <c r="F2" s="146"/>
      <c r="G2" s="146"/>
      <c r="H2" s="147"/>
    </row>
    <row r="3" spans="1:8">
      <c r="F3" s="106">
        <f>48*6</f>
        <v>288</v>
      </c>
      <c r="G3" s="106">
        <f>48*8</f>
        <v>384</v>
      </c>
    </row>
    <row r="4" spans="1:8">
      <c r="A4" s="69" t="s">
        <v>408</v>
      </c>
      <c r="B4" s="13" t="s">
        <v>388</v>
      </c>
      <c r="C4" s="13" t="s">
        <v>409</v>
      </c>
      <c r="D4" s="13" t="s">
        <v>410</v>
      </c>
      <c r="E4" s="13" t="s">
        <v>411</v>
      </c>
      <c r="F4" s="13" t="s">
        <v>420</v>
      </c>
      <c r="G4" s="13" t="s">
        <v>421</v>
      </c>
      <c r="H4" s="13" t="s">
        <v>422</v>
      </c>
    </row>
    <row r="5" spans="1:8" ht="15.6">
      <c r="A5" s="72" t="s">
        <v>394</v>
      </c>
      <c r="B5" s="71" t="s">
        <v>395</v>
      </c>
      <c r="C5" s="69" t="s">
        <v>337</v>
      </c>
      <c r="D5" s="69">
        <v>2</v>
      </c>
      <c r="E5" s="69">
        <v>2</v>
      </c>
      <c r="F5" s="13">
        <f>$F$3*D5</f>
        <v>576</v>
      </c>
      <c r="G5" s="13">
        <f>$G$3*E5</f>
        <v>768</v>
      </c>
      <c r="H5" s="13">
        <f>G5+F5</f>
        <v>1344</v>
      </c>
    </row>
    <row r="6" spans="1:8" ht="15.6">
      <c r="A6" s="72" t="s">
        <v>396</v>
      </c>
      <c r="B6" s="71" t="s">
        <v>397</v>
      </c>
      <c r="C6" s="69" t="s">
        <v>337</v>
      </c>
      <c r="D6" s="69">
        <v>2</v>
      </c>
      <c r="E6" s="69">
        <v>2</v>
      </c>
      <c r="F6" s="13">
        <f t="shared" ref="F6:F12" si="0">$F$3*D6</f>
        <v>576</v>
      </c>
      <c r="G6" s="13">
        <f t="shared" ref="G6:G12" si="1">$G$3*E6</f>
        <v>768</v>
      </c>
      <c r="H6" s="13">
        <f t="shared" ref="H6:H12" si="2">G6+F6</f>
        <v>1344</v>
      </c>
    </row>
    <row r="7" spans="1:8" ht="15.6">
      <c r="A7" s="72" t="s">
        <v>398</v>
      </c>
      <c r="B7" s="71" t="s">
        <v>399</v>
      </c>
      <c r="C7" s="69" t="s">
        <v>337</v>
      </c>
      <c r="D7" s="69">
        <v>2</v>
      </c>
      <c r="E7" s="69">
        <v>2</v>
      </c>
      <c r="F7" s="13">
        <f t="shared" si="0"/>
        <v>576</v>
      </c>
      <c r="G7" s="13">
        <f t="shared" si="1"/>
        <v>768</v>
      </c>
      <c r="H7" s="13">
        <f t="shared" si="2"/>
        <v>1344</v>
      </c>
    </row>
    <row r="8" spans="1:8" ht="15.6">
      <c r="A8" s="72" t="s">
        <v>400</v>
      </c>
      <c r="B8" s="71" t="s">
        <v>401</v>
      </c>
      <c r="C8" s="69" t="s">
        <v>337</v>
      </c>
      <c r="D8" s="69">
        <v>2</v>
      </c>
      <c r="E8" s="69">
        <v>2</v>
      </c>
      <c r="F8" s="13">
        <f t="shared" si="0"/>
        <v>576</v>
      </c>
      <c r="G8" s="13">
        <f t="shared" si="1"/>
        <v>768</v>
      </c>
      <c r="H8" s="13">
        <f t="shared" si="2"/>
        <v>1344</v>
      </c>
    </row>
    <row r="9" spans="1:8" ht="15.6">
      <c r="A9" s="72" t="s">
        <v>402</v>
      </c>
      <c r="B9" s="71" t="s">
        <v>403</v>
      </c>
      <c r="C9" s="69" t="s">
        <v>337</v>
      </c>
      <c r="D9" s="69">
        <v>4</v>
      </c>
      <c r="E9" s="69">
        <v>4</v>
      </c>
      <c r="F9" s="13">
        <f t="shared" si="0"/>
        <v>1152</v>
      </c>
      <c r="G9" s="13">
        <f t="shared" si="1"/>
        <v>1536</v>
      </c>
      <c r="H9" s="13">
        <f t="shared" si="2"/>
        <v>2688</v>
      </c>
    </row>
    <row r="10" spans="1:8" ht="15.6">
      <c r="A10" s="72" t="s">
        <v>404</v>
      </c>
      <c r="B10" s="71" t="s">
        <v>405</v>
      </c>
      <c r="C10" s="69" t="s">
        <v>337</v>
      </c>
      <c r="D10" s="69">
        <v>1</v>
      </c>
      <c r="E10" s="69">
        <v>1</v>
      </c>
      <c r="F10" s="13">
        <f t="shared" si="0"/>
        <v>288</v>
      </c>
      <c r="G10" s="13">
        <f t="shared" si="1"/>
        <v>384</v>
      </c>
      <c r="H10" s="13">
        <f t="shared" si="2"/>
        <v>672</v>
      </c>
    </row>
    <row r="11" spans="1:8" ht="15.6">
      <c r="A11" s="72" t="s">
        <v>406</v>
      </c>
      <c r="B11" s="71" t="s">
        <v>407</v>
      </c>
      <c r="C11" s="69" t="s">
        <v>337</v>
      </c>
      <c r="D11" s="69">
        <v>2</v>
      </c>
      <c r="E11" s="69">
        <v>2</v>
      </c>
      <c r="F11" s="13">
        <f t="shared" si="0"/>
        <v>576</v>
      </c>
      <c r="G11" s="13">
        <f t="shared" si="1"/>
        <v>768</v>
      </c>
      <c r="H11" s="13">
        <f t="shared" si="2"/>
        <v>1344</v>
      </c>
    </row>
    <row r="12" spans="1:8" ht="15.6">
      <c r="A12" s="72" t="s">
        <v>418</v>
      </c>
      <c r="B12" s="71" t="s">
        <v>412</v>
      </c>
      <c r="C12" s="69" t="s">
        <v>419</v>
      </c>
      <c r="D12" s="69">
        <v>0.6</v>
      </c>
      <c r="E12" s="69">
        <v>0.6</v>
      </c>
      <c r="F12" s="13">
        <f t="shared" si="0"/>
        <v>172.79999999999998</v>
      </c>
      <c r="G12" s="13">
        <f t="shared" si="1"/>
        <v>230.39999999999998</v>
      </c>
      <c r="H12" s="13">
        <f t="shared" si="2"/>
        <v>403.19999999999993</v>
      </c>
    </row>
    <row r="13" spans="1:8" ht="15" thickBot="1"/>
    <row r="14" spans="1:8">
      <c r="A14" s="136" t="s">
        <v>490</v>
      </c>
      <c r="B14" s="137"/>
      <c r="C14" s="137"/>
      <c r="D14" s="137"/>
      <c r="E14" s="137"/>
      <c r="F14" s="137"/>
      <c r="G14" s="137"/>
      <c r="H14" s="138"/>
    </row>
    <row r="15" spans="1:8" ht="15" thickBot="1">
      <c r="A15" s="139"/>
      <c r="B15" s="140"/>
      <c r="C15" s="140"/>
      <c r="D15" s="140"/>
      <c r="E15" s="140"/>
      <c r="F15" s="140"/>
      <c r="G15" s="140"/>
      <c r="H15" s="141"/>
    </row>
    <row r="16" spans="1:8" ht="15" thickBot="1">
      <c r="A16" s="107" t="s">
        <v>464</v>
      </c>
      <c r="B16" s="107"/>
      <c r="C16" s="107"/>
      <c r="D16" s="84"/>
      <c r="E16" s="84"/>
      <c r="F16" s="105">
        <v>48</v>
      </c>
      <c r="G16" s="105">
        <v>96</v>
      </c>
      <c r="H16" s="84"/>
    </row>
    <row r="17" spans="1:8">
      <c r="A17" s="69" t="s">
        <v>408</v>
      </c>
      <c r="B17" s="13" t="s">
        <v>459</v>
      </c>
      <c r="C17" s="13" t="s">
        <v>460</v>
      </c>
      <c r="D17" s="13" t="s">
        <v>410</v>
      </c>
      <c r="E17" s="13" t="s">
        <v>411</v>
      </c>
      <c r="F17" s="85" t="s">
        <v>420</v>
      </c>
      <c r="G17" s="85" t="s">
        <v>421</v>
      </c>
      <c r="H17" s="13" t="s">
        <v>422</v>
      </c>
    </row>
    <row r="18" spans="1:8">
      <c r="A18" s="77" t="s">
        <v>423</v>
      </c>
      <c r="B18" s="77" t="s">
        <v>424</v>
      </c>
      <c r="C18" s="78" t="s">
        <v>425</v>
      </c>
      <c r="D18" s="13">
        <v>1</v>
      </c>
      <c r="E18" s="13">
        <v>1</v>
      </c>
      <c r="F18" s="13">
        <f>$F$16*D18</f>
        <v>48</v>
      </c>
      <c r="G18" s="13">
        <f>$G$16*E18</f>
        <v>96</v>
      </c>
      <c r="H18" s="13">
        <f>F18+G18</f>
        <v>144</v>
      </c>
    </row>
    <row r="19" spans="1:8">
      <c r="A19" s="77" t="s">
        <v>426</v>
      </c>
      <c r="B19" s="77" t="s">
        <v>427</v>
      </c>
      <c r="C19" s="78" t="s">
        <v>428</v>
      </c>
      <c r="D19" s="13">
        <v>1</v>
      </c>
      <c r="E19" s="13">
        <v>1</v>
      </c>
      <c r="F19" s="13">
        <f t="shared" ref="F19:F25" si="3">$F$16*D19</f>
        <v>48</v>
      </c>
      <c r="G19" s="13">
        <f t="shared" ref="G19:G25" si="4">$G$16*E19</f>
        <v>96</v>
      </c>
      <c r="H19" s="13">
        <f t="shared" ref="H19:H25" si="5">F19+G19</f>
        <v>144</v>
      </c>
    </row>
    <row r="20" spans="1:8">
      <c r="A20" s="77" t="s">
        <v>429</v>
      </c>
      <c r="B20" s="77" t="s">
        <v>430</v>
      </c>
      <c r="C20" s="78" t="s">
        <v>431</v>
      </c>
      <c r="D20" s="13">
        <v>1</v>
      </c>
      <c r="E20" s="13">
        <v>1</v>
      </c>
      <c r="F20" s="13">
        <f t="shared" si="3"/>
        <v>48</v>
      </c>
      <c r="G20" s="13">
        <f t="shared" si="4"/>
        <v>96</v>
      </c>
      <c r="H20" s="13">
        <f t="shared" si="5"/>
        <v>144</v>
      </c>
    </row>
    <row r="21" spans="1:8">
      <c r="A21" s="77" t="s">
        <v>432</v>
      </c>
      <c r="B21" s="77" t="s">
        <v>433</v>
      </c>
      <c r="C21" s="78" t="s">
        <v>434</v>
      </c>
      <c r="D21" s="13">
        <v>1</v>
      </c>
      <c r="E21" s="13">
        <v>1</v>
      </c>
      <c r="F21" s="13">
        <f t="shared" si="3"/>
        <v>48</v>
      </c>
      <c r="G21" s="13">
        <f t="shared" si="4"/>
        <v>96</v>
      </c>
      <c r="H21" s="13">
        <f t="shared" si="5"/>
        <v>144</v>
      </c>
    </row>
    <row r="22" spans="1:8">
      <c r="A22" s="77" t="s">
        <v>435</v>
      </c>
      <c r="B22" s="77" t="s">
        <v>436</v>
      </c>
      <c r="C22" s="78" t="s">
        <v>437</v>
      </c>
      <c r="D22" s="13">
        <v>1</v>
      </c>
      <c r="E22" s="13">
        <v>1</v>
      </c>
      <c r="F22" s="13">
        <f t="shared" si="3"/>
        <v>48</v>
      </c>
      <c r="G22" s="13">
        <f t="shared" si="4"/>
        <v>96</v>
      </c>
      <c r="H22" s="13">
        <f t="shared" si="5"/>
        <v>144</v>
      </c>
    </row>
    <row r="23" spans="1:8">
      <c r="A23" s="77" t="s">
        <v>438</v>
      </c>
      <c r="B23" s="77" t="s">
        <v>439</v>
      </c>
      <c r="C23" s="78" t="s">
        <v>440</v>
      </c>
      <c r="D23" s="13">
        <v>0</v>
      </c>
      <c r="E23" s="13">
        <v>1</v>
      </c>
      <c r="F23" s="13">
        <f t="shared" si="3"/>
        <v>0</v>
      </c>
      <c r="G23" s="13">
        <f t="shared" si="4"/>
        <v>96</v>
      </c>
      <c r="H23" s="13">
        <f t="shared" si="5"/>
        <v>96</v>
      </c>
    </row>
    <row r="24" spans="1:8">
      <c r="A24" s="77" t="s">
        <v>461</v>
      </c>
      <c r="B24" s="77" t="s">
        <v>462</v>
      </c>
      <c r="C24" s="78" t="s">
        <v>463</v>
      </c>
      <c r="D24" s="13">
        <v>1</v>
      </c>
      <c r="E24" s="13">
        <v>0</v>
      </c>
      <c r="F24" s="13">
        <f t="shared" si="3"/>
        <v>48</v>
      </c>
      <c r="G24" s="13">
        <f t="shared" si="4"/>
        <v>0</v>
      </c>
      <c r="H24" s="13">
        <f t="shared" si="5"/>
        <v>48</v>
      </c>
    </row>
    <row r="25" spans="1:8">
      <c r="A25" s="77" t="s">
        <v>441</v>
      </c>
      <c r="B25" s="77" t="s">
        <v>442</v>
      </c>
      <c r="C25" s="78" t="s">
        <v>443</v>
      </c>
      <c r="D25" s="13">
        <v>1</v>
      </c>
      <c r="E25" s="13">
        <v>1</v>
      </c>
      <c r="F25" s="13">
        <f t="shared" si="3"/>
        <v>48</v>
      </c>
      <c r="G25" s="13">
        <f t="shared" si="4"/>
        <v>96</v>
      </c>
      <c r="H25" s="13">
        <f t="shared" si="5"/>
        <v>144</v>
      </c>
    </row>
    <row r="26" spans="1:8" s="83" customFormat="1">
      <c r="A26" s="81"/>
      <c r="B26" s="81"/>
      <c r="C26" s="82"/>
    </row>
    <row r="28" spans="1:8">
      <c r="A28" s="69" t="s">
        <v>408</v>
      </c>
      <c r="B28" s="13" t="s">
        <v>459</v>
      </c>
      <c r="C28" s="13" t="s">
        <v>460</v>
      </c>
      <c r="D28" s="13" t="s">
        <v>410</v>
      </c>
      <c r="E28" s="13" t="s">
        <v>411</v>
      </c>
      <c r="F28" s="13" t="s">
        <v>420</v>
      </c>
      <c r="G28" s="13" t="s">
        <v>421</v>
      </c>
      <c r="H28" s="13" t="s">
        <v>422</v>
      </c>
    </row>
    <row r="29" spans="1:8">
      <c r="A29" s="74" t="s">
        <v>413</v>
      </c>
      <c r="B29" s="75" t="s">
        <v>414</v>
      </c>
      <c r="C29" s="75" t="s">
        <v>415</v>
      </c>
      <c r="D29" s="74">
        <v>0</v>
      </c>
      <c r="E29" s="74">
        <v>1</v>
      </c>
      <c r="F29" s="76">
        <f>$F$16*D29</f>
        <v>0</v>
      </c>
      <c r="G29" s="76">
        <f>$G$16*E29</f>
        <v>96</v>
      </c>
      <c r="H29" s="76">
        <f>G29+F29</f>
        <v>96</v>
      </c>
    </row>
    <row r="30" spans="1:8">
      <c r="A30" s="74" t="s">
        <v>416</v>
      </c>
      <c r="B30" s="74" t="s">
        <v>481</v>
      </c>
      <c r="C30" s="74" t="s">
        <v>417</v>
      </c>
      <c r="D30" s="74">
        <v>1</v>
      </c>
      <c r="E30" s="74">
        <v>0</v>
      </c>
      <c r="F30" s="76">
        <f>$F$16*D30</f>
        <v>48</v>
      </c>
      <c r="G30" s="76">
        <f>$G$16*E30</f>
        <v>0</v>
      </c>
      <c r="H30" s="76">
        <f>G30+F30</f>
        <v>48</v>
      </c>
    </row>
    <row r="31" spans="1:8" ht="15" thickBot="1"/>
    <row r="32" spans="1:8" ht="15" thickBot="1">
      <c r="A32" s="107" t="s">
        <v>465</v>
      </c>
      <c r="B32" s="107"/>
      <c r="C32" s="107"/>
      <c r="D32" s="84"/>
      <c r="E32" s="84"/>
      <c r="F32" s="86">
        <v>48</v>
      </c>
      <c r="G32" s="86">
        <v>96</v>
      </c>
      <c r="H32" s="84"/>
    </row>
    <row r="33" spans="1:8">
      <c r="A33" s="69" t="s">
        <v>408</v>
      </c>
      <c r="B33" s="13" t="s">
        <v>459</v>
      </c>
      <c r="C33" s="13" t="s">
        <v>460</v>
      </c>
      <c r="D33" s="13" t="s">
        <v>410</v>
      </c>
      <c r="E33" s="13" t="s">
        <v>411</v>
      </c>
      <c r="F33" s="85" t="s">
        <v>420</v>
      </c>
      <c r="G33" s="85" t="s">
        <v>421</v>
      </c>
      <c r="H33" s="13" t="s">
        <v>422</v>
      </c>
    </row>
    <row r="34" spans="1:8">
      <c r="A34" s="77" t="s">
        <v>444</v>
      </c>
      <c r="B34" s="77" t="s">
        <v>445</v>
      </c>
      <c r="C34" s="78" t="s">
        <v>446</v>
      </c>
      <c r="D34" s="13">
        <v>0</v>
      </c>
      <c r="E34" s="13">
        <v>1</v>
      </c>
      <c r="F34" s="13">
        <f t="shared" ref="F34:F43" si="6">$F$32*D34</f>
        <v>0</v>
      </c>
      <c r="G34" s="13">
        <f t="shared" ref="G34:G43" si="7">$G$32*E34</f>
        <v>96</v>
      </c>
      <c r="H34" s="13">
        <f>G34+F34</f>
        <v>96</v>
      </c>
    </row>
    <row r="35" spans="1:8">
      <c r="A35" s="77" t="s">
        <v>447</v>
      </c>
      <c r="B35" s="77" t="s">
        <v>448</v>
      </c>
      <c r="C35" s="78" t="s">
        <v>449</v>
      </c>
      <c r="D35" s="13">
        <v>0</v>
      </c>
      <c r="E35" s="13">
        <v>1</v>
      </c>
      <c r="F35" s="13">
        <f t="shared" si="6"/>
        <v>0</v>
      </c>
      <c r="G35" s="13">
        <f t="shared" si="7"/>
        <v>96</v>
      </c>
      <c r="H35" s="13">
        <f t="shared" ref="H35:H43" si="8">G35+F35</f>
        <v>96</v>
      </c>
    </row>
    <row r="36" spans="1:8">
      <c r="A36" s="77" t="s">
        <v>450</v>
      </c>
      <c r="B36" s="77" t="s">
        <v>451</v>
      </c>
      <c r="C36" s="78" t="s">
        <v>452</v>
      </c>
      <c r="D36" s="13">
        <v>0</v>
      </c>
      <c r="E36" s="13">
        <v>1</v>
      </c>
      <c r="F36" s="13">
        <f t="shared" si="6"/>
        <v>0</v>
      </c>
      <c r="G36" s="13">
        <f t="shared" si="7"/>
        <v>96</v>
      </c>
      <c r="H36" s="13">
        <f t="shared" si="8"/>
        <v>96</v>
      </c>
    </row>
    <row r="37" spans="1:8">
      <c r="A37" s="77" t="s">
        <v>453</v>
      </c>
      <c r="B37" s="77" t="s">
        <v>454</v>
      </c>
      <c r="C37" s="78" t="s">
        <v>455</v>
      </c>
      <c r="D37" s="13">
        <v>0</v>
      </c>
      <c r="E37" s="13">
        <v>1</v>
      </c>
      <c r="F37" s="13">
        <f t="shared" si="6"/>
        <v>0</v>
      </c>
      <c r="G37" s="13">
        <f t="shared" si="7"/>
        <v>96</v>
      </c>
      <c r="H37" s="13">
        <f t="shared" si="8"/>
        <v>96</v>
      </c>
    </row>
    <row r="38" spans="1:8">
      <c r="A38" s="77" t="s">
        <v>456</v>
      </c>
      <c r="B38" s="77" t="s">
        <v>457</v>
      </c>
      <c r="C38" s="78" t="s">
        <v>458</v>
      </c>
      <c r="D38" s="13">
        <v>0</v>
      </c>
      <c r="E38" s="13">
        <v>1</v>
      </c>
      <c r="F38" s="13">
        <f t="shared" si="6"/>
        <v>0</v>
      </c>
      <c r="G38" s="13">
        <f t="shared" si="7"/>
        <v>96</v>
      </c>
      <c r="H38" s="13">
        <f t="shared" si="8"/>
        <v>96</v>
      </c>
    </row>
    <row r="39" spans="1:8">
      <c r="A39" s="79" t="s">
        <v>466</v>
      </c>
      <c r="B39" s="79" t="s">
        <v>471</v>
      </c>
      <c r="C39" s="80" t="s">
        <v>472</v>
      </c>
      <c r="D39" s="13">
        <v>1</v>
      </c>
      <c r="E39" s="13">
        <v>0</v>
      </c>
      <c r="F39" s="13">
        <f t="shared" si="6"/>
        <v>48</v>
      </c>
      <c r="G39" s="13">
        <f t="shared" si="7"/>
        <v>0</v>
      </c>
      <c r="H39" s="13">
        <f t="shared" si="8"/>
        <v>48</v>
      </c>
    </row>
    <row r="40" spans="1:8">
      <c r="A40" s="79" t="s">
        <v>467</v>
      </c>
      <c r="B40" s="79" t="s">
        <v>473</v>
      </c>
      <c r="C40" s="80" t="s">
        <v>474</v>
      </c>
      <c r="D40" s="13">
        <v>1</v>
      </c>
      <c r="E40" s="13">
        <v>0</v>
      </c>
      <c r="F40" s="13">
        <f t="shared" si="6"/>
        <v>48</v>
      </c>
      <c r="G40" s="13">
        <f t="shared" si="7"/>
        <v>0</v>
      </c>
      <c r="H40" s="13">
        <f t="shared" si="8"/>
        <v>48</v>
      </c>
    </row>
    <row r="41" spans="1:8">
      <c r="A41" s="79" t="s">
        <v>468</v>
      </c>
      <c r="B41" s="79" t="s">
        <v>475</v>
      </c>
      <c r="C41" s="80" t="s">
        <v>476</v>
      </c>
      <c r="D41" s="13">
        <v>1</v>
      </c>
      <c r="E41" s="13">
        <v>0</v>
      </c>
      <c r="F41" s="13">
        <f t="shared" si="6"/>
        <v>48</v>
      </c>
      <c r="G41" s="13">
        <f t="shared" si="7"/>
        <v>0</v>
      </c>
      <c r="H41" s="13">
        <f t="shared" si="8"/>
        <v>48</v>
      </c>
    </row>
    <row r="42" spans="1:8">
      <c r="A42" s="79" t="s">
        <v>469</v>
      </c>
      <c r="B42" s="79" t="s">
        <v>477</v>
      </c>
      <c r="C42" s="80" t="s">
        <v>478</v>
      </c>
      <c r="D42" s="13">
        <v>1</v>
      </c>
      <c r="E42" s="13">
        <v>0</v>
      </c>
      <c r="F42" s="13">
        <f t="shared" si="6"/>
        <v>48</v>
      </c>
      <c r="G42" s="13">
        <f t="shared" si="7"/>
        <v>0</v>
      </c>
      <c r="H42" s="13">
        <f t="shared" si="8"/>
        <v>48</v>
      </c>
    </row>
    <row r="43" spans="1:8">
      <c r="A43" s="79" t="s">
        <v>470</v>
      </c>
      <c r="B43" s="79" t="s">
        <v>479</v>
      </c>
      <c r="C43" s="80" t="s">
        <v>480</v>
      </c>
      <c r="D43" s="13">
        <v>1</v>
      </c>
      <c r="E43" s="13">
        <v>0</v>
      </c>
      <c r="F43" s="13">
        <f t="shared" si="6"/>
        <v>48</v>
      </c>
      <c r="G43" s="13">
        <f t="shared" si="7"/>
        <v>0</v>
      </c>
      <c r="H43" s="13">
        <f t="shared" si="8"/>
        <v>48</v>
      </c>
    </row>
  </sheetData>
  <mergeCells count="4">
    <mergeCell ref="A16:C16"/>
    <mergeCell ref="A32:C32"/>
    <mergeCell ref="A14:H15"/>
    <mergeCell ref="A1:H2"/>
  </mergeCells>
  <conditionalFormatting sqref="A18:A26">
    <cfRule type="duplicateValues" dxfId="1" priority="1"/>
  </conditionalFormatting>
  <conditionalFormatting sqref="A34:A38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F19E1-2AAA-42F4-832F-46E2E6537E83}">
  <dimension ref="A1:F10"/>
  <sheetViews>
    <sheetView workbookViewId="0">
      <selection activeCell="F7" sqref="F7"/>
    </sheetView>
  </sheetViews>
  <sheetFormatPr defaultRowHeight="14.4"/>
  <cols>
    <col min="1" max="1" width="6.109375" bestFit="1" customWidth="1"/>
    <col min="2" max="2" width="17.88671875" customWidth="1"/>
    <col min="3" max="3" width="28.5546875" customWidth="1"/>
  </cols>
  <sheetData>
    <row r="1" spans="1:6" ht="15.6">
      <c r="A1" s="148" t="s">
        <v>482</v>
      </c>
      <c r="B1" s="149"/>
      <c r="C1" s="150"/>
    </row>
    <row r="2" spans="1:6">
      <c r="A2" s="87" t="s">
        <v>483</v>
      </c>
      <c r="B2" s="88" t="s">
        <v>290</v>
      </c>
      <c r="C2" s="89" t="s">
        <v>393</v>
      </c>
    </row>
    <row r="3" spans="1:6">
      <c r="A3" s="87" t="s">
        <v>484</v>
      </c>
      <c r="B3" s="3">
        <v>1</v>
      </c>
      <c r="C3" s="90">
        <v>3</v>
      </c>
    </row>
    <row r="4" spans="1:6">
      <c r="A4" s="87" t="s">
        <v>389</v>
      </c>
      <c r="B4" s="3">
        <v>6</v>
      </c>
      <c r="C4" s="90">
        <v>7</v>
      </c>
    </row>
    <row r="5" spans="1:6">
      <c r="A5" s="87" t="s">
        <v>390</v>
      </c>
      <c r="B5" s="3">
        <v>4</v>
      </c>
      <c r="C5" s="90">
        <v>6</v>
      </c>
      <c r="F5">
        <f>4*48</f>
        <v>192</v>
      </c>
    </row>
    <row r="6" spans="1:6">
      <c r="A6" s="87" t="s">
        <v>485</v>
      </c>
      <c r="B6" s="3">
        <v>4</v>
      </c>
      <c r="C6" s="90">
        <v>8</v>
      </c>
      <c r="F6">
        <f>6*48</f>
        <v>288</v>
      </c>
    </row>
    <row r="7" spans="1:6">
      <c r="A7" s="87" t="s">
        <v>486</v>
      </c>
      <c r="B7" s="3">
        <v>6</v>
      </c>
      <c r="C7" s="90">
        <v>9</v>
      </c>
    </row>
    <row r="8" spans="1:6">
      <c r="A8" s="87" t="s">
        <v>487</v>
      </c>
      <c r="B8" s="3">
        <v>5</v>
      </c>
      <c r="C8" s="90">
        <v>7</v>
      </c>
    </row>
    <row r="9" spans="1:6" ht="15" thickBot="1">
      <c r="A9" s="91" t="s">
        <v>488</v>
      </c>
      <c r="B9" s="92">
        <v>5</v>
      </c>
      <c r="C9" s="93">
        <v>7</v>
      </c>
    </row>
    <row r="10" spans="1:6" ht="15" thickBot="1">
      <c r="A10" s="94" t="s">
        <v>489</v>
      </c>
      <c r="B10" s="95">
        <f>SUM(B3:B9)</f>
        <v>31</v>
      </c>
      <c r="C10" s="96">
        <f>SUM(C3:C9)</f>
        <v>47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Order</vt:lpstr>
      <vt:lpstr>Stock</vt:lpstr>
      <vt:lpstr>Local and semi finished</vt:lpstr>
      <vt:lpstr>2025 Time plan- not updated</vt:lpstr>
      <vt:lpstr>local</vt:lpstr>
      <vt:lpstr>Required 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mahmoud</dc:creator>
  <cp:lastModifiedBy>mohamed2018112</cp:lastModifiedBy>
  <cp:lastPrinted>2025-04-29T08:28:21Z</cp:lastPrinted>
  <dcterms:created xsi:type="dcterms:W3CDTF">2024-12-17T14:05:20Z</dcterms:created>
  <dcterms:modified xsi:type="dcterms:W3CDTF">2025-08-04T09:02:36Z</dcterms:modified>
</cp:coreProperties>
</file>